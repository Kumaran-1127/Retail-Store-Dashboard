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xr:revisionPtr revIDLastSave="0" documentId="8_{F1B68CA7-4998-4612-9057-AE16E513AD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2" r:id="rId1"/>
    <sheet name="Sales Sheet" sheetId="1" r:id="rId2"/>
    <sheet name="Conditional Formatting" sheetId="3" r:id="rId3"/>
    <sheet name="Pivot Table" sheetId="4" r:id="rId4"/>
    <sheet name="Chart" sheetId="5" r:id="rId5"/>
  </sheets>
  <definedNames>
    <definedName name="Slicer_MONTH">#N/A</definedName>
    <definedName name="Slicer_Profit">#N/A</definedName>
  </definedNames>
  <calcPr calcId="191028"/>
  <pivotCaches>
    <pivotCache cacheId="588" r:id="rId6"/>
    <pivotCache cacheId="589" r:id="rId7"/>
    <pivotCache cacheId="59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<sst xmlns="http://schemas.openxmlformats.org/spreadsheetml/2006/main" count="934" uniqueCount="217">
  <si>
    <t>RETAIL STORE DASHBOARD</t>
  </si>
  <si>
    <t>Date</t>
  </si>
  <si>
    <t>Product</t>
  </si>
  <si>
    <t>Sales Quantity</t>
  </si>
  <si>
    <t>Sales Price</t>
  </si>
  <si>
    <t>Total Sales</t>
  </si>
  <si>
    <t>State</t>
  </si>
  <si>
    <t>Salesperson</t>
  </si>
  <si>
    <t>Payment Method</t>
  </si>
  <si>
    <t>Profit</t>
  </si>
  <si>
    <t>MONTH</t>
  </si>
  <si>
    <t>Product C</t>
  </si>
  <si>
    <t>Alabama</t>
  </si>
  <si>
    <t>John</t>
  </si>
  <si>
    <t>Credit Card</t>
  </si>
  <si>
    <t>Product D</t>
  </si>
  <si>
    <t>Alaska</t>
  </si>
  <si>
    <t>Mike</t>
  </si>
  <si>
    <t>Cash</t>
  </si>
  <si>
    <t>Product A</t>
  </si>
  <si>
    <t>Arizona</t>
  </si>
  <si>
    <t>Anna</t>
  </si>
  <si>
    <t>Online Payment</t>
  </si>
  <si>
    <t>Product B</t>
  </si>
  <si>
    <t>Arkansas</t>
  </si>
  <si>
    <t>David</t>
  </si>
  <si>
    <t>California</t>
  </si>
  <si>
    <t>Lily</t>
  </si>
  <si>
    <t>Colorado</t>
  </si>
  <si>
    <t>Emma</t>
  </si>
  <si>
    <t>Connecticut</t>
  </si>
  <si>
    <t>Sophia</t>
  </si>
  <si>
    <t>Delaware</t>
  </si>
  <si>
    <t>James</t>
  </si>
  <si>
    <t>Florida</t>
  </si>
  <si>
    <t>Chris</t>
  </si>
  <si>
    <t>Georgia</t>
  </si>
  <si>
    <t>Olivia</t>
  </si>
  <si>
    <t>Hawaii</t>
  </si>
  <si>
    <t>Ethan</t>
  </si>
  <si>
    <t>Idaho</t>
  </si>
  <si>
    <t>Lucas</t>
  </si>
  <si>
    <t>Illinois</t>
  </si>
  <si>
    <t>Ava</t>
  </si>
  <si>
    <t>Indiana</t>
  </si>
  <si>
    <t>Mason</t>
  </si>
  <si>
    <t>lowa</t>
  </si>
  <si>
    <t>Isabella</t>
  </si>
  <si>
    <t>Kansas</t>
  </si>
  <si>
    <t>Liam</t>
  </si>
  <si>
    <t>Kentucky</t>
  </si>
  <si>
    <t>Louisiana</t>
  </si>
  <si>
    <t>Benjamin</t>
  </si>
  <si>
    <t>Maine</t>
  </si>
  <si>
    <t>Ella</t>
  </si>
  <si>
    <t>Maryland</t>
  </si>
  <si>
    <t>Zoe</t>
  </si>
  <si>
    <t>Massachusetts</t>
  </si>
  <si>
    <t>Charlotte</t>
  </si>
  <si>
    <t>Michigan</t>
  </si>
  <si>
    <t>Amelia</t>
  </si>
  <si>
    <t>Minnesota</t>
  </si>
  <si>
    <t>William</t>
  </si>
  <si>
    <t>Mississippi</t>
  </si>
  <si>
    <t>Grace</t>
  </si>
  <si>
    <t>Missouri</t>
  </si>
  <si>
    <t>Henry</t>
  </si>
  <si>
    <t>Montana</t>
  </si>
  <si>
    <t>Oliver</t>
  </si>
  <si>
    <t>Nebraska</t>
  </si>
  <si>
    <t>Jack</t>
  </si>
  <si>
    <t>Nevada</t>
  </si>
  <si>
    <t>Sophie</t>
  </si>
  <si>
    <t>New Hamsphire</t>
  </si>
  <si>
    <t>Mia</t>
  </si>
  <si>
    <t>New Jersey</t>
  </si>
  <si>
    <t>Sum of Sales Quantity</t>
  </si>
  <si>
    <t>Sum of Sales Price</t>
  </si>
  <si>
    <t>Sum of Total Sales</t>
  </si>
  <si>
    <t>Sum of Profit</t>
  </si>
  <si>
    <t>Cash Total</t>
  </si>
  <si>
    <t>Amelia Total</t>
  </si>
  <si>
    <t>Product A Total</t>
  </si>
  <si>
    <t>1/19/2024 Total</t>
  </si>
  <si>
    <t>Online Payment Total</t>
  </si>
  <si>
    <t>Emma Total</t>
  </si>
  <si>
    <t>Product D Total</t>
  </si>
  <si>
    <t>1/23/2024 Total</t>
  </si>
  <si>
    <t>Credit Card Total</t>
  </si>
  <si>
    <t>Sophia Total</t>
  </si>
  <si>
    <t>2/8/2024 Total</t>
  </si>
  <si>
    <t>Liam Total</t>
  </si>
  <si>
    <t>2/19/2024 Total</t>
  </si>
  <si>
    <t>Chris Total</t>
  </si>
  <si>
    <t>Product C Total</t>
  </si>
  <si>
    <t>3/11/2024 Total</t>
  </si>
  <si>
    <t>Sophie Total</t>
  </si>
  <si>
    <t>Product B Total</t>
  </si>
  <si>
    <t>3/15/2024 Total</t>
  </si>
  <si>
    <t>Anna Total</t>
  </si>
  <si>
    <t>4/7/2024 Total</t>
  </si>
  <si>
    <t>Olivia Total</t>
  </si>
  <si>
    <t>4/10/2024 Total</t>
  </si>
  <si>
    <t>Jack Total</t>
  </si>
  <si>
    <t>5/11/2024 Total</t>
  </si>
  <si>
    <t>Lucas Total</t>
  </si>
  <si>
    <t>5/23/2024 Total</t>
  </si>
  <si>
    <t>Isabella Total</t>
  </si>
  <si>
    <t>5/24/2024 Total</t>
  </si>
  <si>
    <t>Ava Total</t>
  </si>
  <si>
    <t>Grace Total</t>
  </si>
  <si>
    <t>6/17/2024 Total</t>
  </si>
  <si>
    <t>Ethan Total</t>
  </si>
  <si>
    <t>6/23/2024 Total</t>
  </si>
  <si>
    <t>Lily Total</t>
  </si>
  <si>
    <t>7/18/2024 Total</t>
  </si>
  <si>
    <t>Mia Total</t>
  </si>
  <si>
    <t>8/5/2024 Total</t>
  </si>
  <si>
    <t>Mike Total</t>
  </si>
  <si>
    <t>8/27/2024 Total</t>
  </si>
  <si>
    <t>Benjamin Total</t>
  </si>
  <si>
    <t>9/5/2024 Total</t>
  </si>
  <si>
    <t>Zoe Total</t>
  </si>
  <si>
    <t>9/8/2024 Total</t>
  </si>
  <si>
    <t>James Total</t>
  </si>
  <si>
    <t>9/25/2024 Total</t>
  </si>
  <si>
    <t>Mason Total</t>
  </si>
  <si>
    <t>10/11/2024 Total</t>
  </si>
  <si>
    <t>Henry Total</t>
  </si>
  <si>
    <t>10/19/2024 Total</t>
  </si>
  <si>
    <t>10/20/2024 Total</t>
  </si>
  <si>
    <t>David Total</t>
  </si>
  <si>
    <t>10/21/2024 Total</t>
  </si>
  <si>
    <t>John Total</t>
  </si>
  <si>
    <t>11/12/2024 Total</t>
  </si>
  <si>
    <t>Oliver Total</t>
  </si>
  <si>
    <t>11/16/2024 Total</t>
  </si>
  <si>
    <t>Ella Total</t>
  </si>
  <si>
    <t>11/19/2024 Total</t>
  </si>
  <si>
    <t>William Total</t>
  </si>
  <si>
    <t>12/3/2024 Total</t>
  </si>
  <si>
    <t>12/22/2024 Total</t>
  </si>
  <si>
    <t>(blank)</t>
  </si>
  <si>
    <t>(blank) Total</t>
  </si>
  <si>
    <t>Grand Total</t>
  </si>
  <si>
    <t>19-Jan-24 Total</t>
  </si>
  <si>
    <t>23-Jan-24 Total</t>
  </si>
  <si>
    <t>Arizona Total</t>
  </si>
  <si>
    <t>24-Jan-24 Total</t>
  </si>
  <si>
    <t>Connecticut Total</t>
  </si>
  <si>
    <t>8-Feb-24 Total</t>
  </si>
  <si>
    <t>Delaware Total</t>
  </si>
  <si>
    <t>19-Feb-24 Total</t>
  </si>
  <si>
    <t>Kansas Total</t>
  </si>
  <si>
    <t>11-Mar-24 Total</t>
  </si>
  <si>
    <t>Michigan Total</t>
  </si>
  <si>
    <t>15-Mar-24 Total</t>
  </si>
  <si>
    <t>7-Apr-24 Total</t>
  </si>
  <si>
    <t>Georgia Total</t>
  </si>
  <si>
    <t>Charlotte Total</t>
  </si>
  <si>
    <t>10-Apr-24 Total</t>
  </si>
  <si>
    <t>Massachusetts Total</t>
  </si>
  <si>
    <t>11-May-24 Total</t>
  </si>
  <si>
    <t>Minnesota Total</t>
  </si>
  <si>
    <t>23-May-24 Total</t>
  </si>
  <si>
    <t>Montana Total</t>
  </si>
  <si>
    <t>24-May-24 Total</t>
  </si>
  <si>
    <t>Nevada Total</t>
  </si>
  <si>
    <t>New Hamsphire Total</t>
  </si>
  <si>
    <t>17-Jun-24 Total</t>
  </si>
  <si>
    <t>Alabama Total</t>
  </si>
  <si>
    <t>23-Jun-24 Total</t>
  </si>
  <si>
    <t>Arkansas Total</t>
  </si>
  <si>
    <t>18-Jul-24 Total</t>
  </si>
  <si>
    <t>California Total</t>
  </si>
  <si>
    <t>5-Aug-24 Total</t>
  </si>
  <si>
    <t>Florida Total</t>
  </si>
  <si>
    <t>27-Aug-24 Total</t>
  </si>
  <si>
    <t>Hawaii Total</t>
  </si>
  <si>
    <t>5-Sep-24 Total</t>
  </si>
  <si>
    <t>Idaho Total</t>
  </si>
  <si>
    <t>8-Sep-24 Total</t>
  </si>
  <si>
    <t>Illinois Total</t>
  </si>
  <si>
    <t>25-Sep-24 Total</t>
  </si>
  <si>
    <t>Indiana Total</t>
  </si>
  <si>
    <t>11-Oct-24 Total</t>
  </si>
  <si>
    <t>Maryland Total</t>
  </si>
  <si>
    <t>19-Oct-24 Total</t>
  </si>
  <si>
    <t>20-Oct-24 Total</t>
  </si>
  <si>
    <t>Alaska Total</t>
  </si>
  <si>
    <t>21-Oct-24 Total</t>
  </si>
  <si>
    <t>Colorado Total</t>
  </si>
  <si>
    <t>12-Nov-24 Total</t>
  </si>
  <si>
    <t>Kentucky Total</t>
  </si>
  <si>
    <t>16-Nov-24 Total</t>
  </si>
  <si>
    <t>Louisiana Total</t>
  </si>
  <si>
    <t>19-Nov-24 Total</t>
  </si>
  <si>
    <t>lowa Total</t>
  </si>
  <si>
    <t>3-Dec-24 Total</t>
  </si>
  <si>
    <t>Maine Total</t>
  </si>
  <si>
    <t>22-Dec-24 Total</t>
  </si>
  <si>
    <t>Mississippi Total</t>
  </si>
  <si>
    <t>Missouri Total</t>
  </si>
  <si>
    <t>Nebraska Total</t>
  </si>
  <si>
    <t>Jan</t>
  </si>
  <si>
    <t>Feb</t>
  </si>
  <si>
    <t>New Jersey 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</si>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</sst>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0"/>
      <color rgb="FFB10202"/>
      <name val="Arial"/>
      <charset val="1"/>
    </font>
    <font>
      <sz val="10"/>
      <color rgb="FF5A3286"/>
      <name val="Arial"/>
      <charset val="1"/>
    </font>
    <font>
      <sz val="10"/>
      <color rgb="FF0A53A8"/>
      <name val="Arial"/>
      <charset val="1"/>
    </font>
    <font>
      <sz val="10"/>
      <color rgb="FF215A6C"/>
      <name val="Arial"/>
      <charset val="1"/>
    </font>
    <font>
      <sz val="10"/>
      <color rgb="FF473821"/>
      <name val="Arial"/>
      <charset val="1"/>
    </font>
    <font>
      <sz val="10"/>
      <color rgb="FFC6DBE1"/>
      <name val="Arial"/>
      <charset val="1"/>
    </font>
    <font>
      <sz val="10"/>
      <color rgb="FF11734B"/>
      <name val="Arial"/>
      <charset val="1"/>
    </font>
    <font>
      <b/>
      <sz val="24"/>
      <color rgb="FF000000"/>
      <name val="Calibri"/>
      <scheme val="minor"/>
    </font>
    <font>
      <sz val="10"/>
      <color theme="9" tint="-0.24997711111789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B45F0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15" fontId="1" fillId="0" borderId="4" xfId="0" applyNumberFormat="1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6" fillId="0" borderId="5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8" fillId="0" borderId="5" xfId="0" applyFont="1" applyBorder="1" applyAlignment="1">
      <alignment readingOrder="1"/>
    </xf>
    <xf numFmtId="15" fontId="1" fillId="0" borderId="7" xfId="0" applyNumberFormat="1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5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15" fontId="0" fillId="0" borderId="0" xfId="0" applyNumberFormat="1"/>
    <xf numFmtId="0" fontId="0" fillId="3" borderId="0" xfId="0" applyFill="1"/>
    <xf numFmtId="0" fontId="10" fillId="0" borderId="5" xfId="0" applyFont="1" applyBorder="1" applyAlignment="1">
      <alignment readingOrder="1"/>
    </xf>
    <xf numFmtId="0" fontId="1" fillId="0" borderId="6" xfId="0" applyNumberFormat="1" applyFont="1" applyBorder="1" applyAlignment="1">
      <alignment readingOrder="1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6-4A94-AB22-6F415A2A9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7127"/>
        <c:axId val="9801223"/>
      </c:lineChart>
      <c:catAx>
        <c:axId val="979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223"/>
        <c:crosses val="autoZero"/>
        <c:auto val="1"/>
        <c:lblAlgn val="ctr"/>
        <c:lblOffset val="100"/>
        <c:noMultiLvlLbl val="0"/>
      </c:catAx>
      <c:valAx>
        <c:axId val="980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8-4EB4-AD6B-C6DAE2733D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48-4EB4-AD6B-C6DAE2733D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48-4EB4-AD6B-C6DAE2733D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48-4EB4-AD6B-C6DAE2733D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48-4EB4-AD6B-C6DAE2733D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48-4EB4-AD6B-C6DAE2733D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48-4EB4-AD6B-C6DAE2733D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48-4EB4-AD6B-C6DAE2733D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48-4EB4-AD6B-C6DAE2733D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48-4EB4-AD6B-C6DAE2733D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48-4EB4-AD6B-C6DAE2733D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48-4EB4-AD6B-C6DAE2733D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48-4EB4-AD6B-C6DAE273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2-4DAB-86BF-5E11CCE0D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64007"/>
        <c:axId val="36866055"/>
      </c:barChart>
      <c:catAx>
        <c:axId val="36864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6055"/>
        <c:crosses val="autoZero"/>
        <c:auto val="1"/>
        <c:lblAlgn val="ctr"/>
        <c:lblOffset val="100"/>
        <c:noMultiLvlLbl val="0"/>
      </c:catAx>
      <c:valAx>
        <c:axId val="368660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5-4C93-8304-95E9BB06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7127"/>
        <c:axId val="9801223"/>
      </c:lineChart>
      <c:catAx>
        <c:axId val="979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223"/>
        <c:crosses val="autoZero"/>
        <c:auto val="1"/>
        <c:lblAlgn val="ctr"/>
        <c:lblOffset val="100"/>
        <c:noMultiLvlLbl val="0"/>
      </c:catAx>
      <c:valAx>
        <c:axId val="980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F5-40CB-9979-92CBB2E54E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F5-40CB-9979-92CBB2E54E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F5-40CB-9979-92CBB2E54E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F5-40CB-9979-92CBB2E54E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F5-40CB-9979-92CBB2E54E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6F5-40CB-9979-92CBB2E54E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6F5-40CB-9979-92CBB2E54E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6F5-40CB-9979-92CBB2E54E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6F5-40CB-9979-92CBB2E54E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6F5-40CB-9979-92CBB2E54E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6F5-40CB-9979-92CBB2E54EF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6F5-40CB-9979-92CBB2E54E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6F5-40CB-9979-92CBB2E54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[Srikumaran_Retail Store Dashboard.xlsx]Pivot Table!PivotTable5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Table'!$B$252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Table'!$A$253:$A$265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Table'!$B$253:$B$265</c:f>
              <c:numCache>
                <c:formatCode>General</c:formatCode>
                <c:ptCount val="12"/>
                <c:pt idx="0">
                  <c:v>2040.1200000000001</c:v>
                </c:pt>
                <c:pt idx="1">
                  <c:v>3635.64</c:v>
                </c:pt>
                <c:pt idx="2">
                  <c:v>3016.44</c:v>
                </c:pt>
                <c:pt idx="3">
                  <c:v>3534.6000000000004</c:v>
                </c:pt>
                <c:pt idx="4">
                  <c:v>4466.6499999999996</c:v>
                </c:pt>
                <c:pt idx="5">
                  <c:v>2429.37</c:v>
                </c:pt>
                <c:pt idx="6">
                  <c:v>1613.7</c:v>
                </c:pt>
                <c:pt idx="7">
                  <c:v>3336.1800000000003</c:v>
                </c:pt>
                <c:pt idx="8">
                  <c:v>5157.7999999999993</c:v>
                </c:pt>
                <c:pt idx="9">
                  <c:v>3051.68</c:v>
                </c:pt>
                <c:pt idx="10">
                  <c:v>3526.59</c:v>
                </c:pt>
                <c:pt idx="11">
                  <c:v>2342.5500000000002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7-414C-93DA-A69D34DFF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64007"/>
        <c:axId val="36866055"/>
      </c:barChart>
      <c:catAx>
        <c:axId val="36864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6055"/>
        <c:crosses val="autoZero"/>
        <c:auto val="1"/>
        <c:lblAlgn val="ctr"/>
        <c:lblOffset val="100"/>
        <c:noMultiLvlLbl val="0"/>
      </c:catAx>
      <c:valAx>
        <c:axId val="368660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20</xdr:row>
      <xdr:rowOff>0</xdr:rowOff>
    </xdr:from>
    <xdr:to>
      <xdr:col>11</xdr:col>
      <xdr:colOff>600075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F7DFD-30FE-4407-B542-0056677B3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4</xdr:row>
      <xdr:rowOff>9525</xdr:rowOff>
    </xdr:from>
    <xdr:to>
      <xdr:col>15</xdr:col>
      <xdr:colOff>295275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FDF218-CFEA-454E-825E-EE7D9CD477BD}"/>
            </a:ext>
            <a:ext uri="{147F2762-F138-4A5C-976F-8EAC2B608ADB}">
              <a16:predDERef xmlns:a16="http://schemas.microsoft.com/office/drawing/2014/main" pred="{24CF7DFD-30FE-4407-B542-0056677B3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7</xdr:col>
      <xdr:colOff>304800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6FC6CE-8FBD-49FD-9B99-62789BAF5662}"/>
            </a:ext>
            <a:ext uri="{147F2762-F138-4A5C-976F-8EAC2B608ADB}">
              <a16:predDERef xmlns:a16="http://schemas.microsoft.com/office/drawing/2014/main" pred="{AEFDF218-CFEA-454E-825E-EE7D9CD47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251</xdr:row>
      <xdr:rowOff>0</xdr:rowOff>
    </xdr:from>
    <xdr:to>
      <xdr:col>5</xdr:col>
      <xdr:colOff>695325</xdr:colOff>
      <xdr:row>264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fit">
              <a:extLst>
                <a:ext uri="{FF2B5EF4-FFF2-40B4-BE49-F238E27FC236}">
                  <a16:creationId xmlns:a16="http://schemas.microsoft.com/office/drawing/2014/main" id="{5BB498FC-8218-F585-FFAA-9B5204529B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47815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314325</xdr:colOff>
      <xdr:row>250</xdr:row>
      <xdr:rowOff>180975</xdr:rowOff>
    </xdr:from>
    <xdr:to>
      <xdr:col>3</xdr:col>
      <xdr:colOff>838200</xdr:colOff>
      <xdr:row>264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">
              <a:extLst>
                <a:ext uri="{FF2B5EF4-FFF2-40B4-BE49-F238E27FC236}">
                  <a16:creationId xmlns:a16="http://schemas.microsoft.com/office/drawing/2014/main" id="{631198DE-6D80-16A3-4F52-BC4D70E074B9}"/>
                </a:ext>
                <a:ext uri="{147F2762-F138-4A5C-976F-8EAC2B608ADB}">
                  <a16:predDERef xmlns:a16="http://schemas.microsoft.com/office/drawing/2014/main" pred="{5BB498FC-8218-F585-FFAA-9B5204529B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4525" y="47805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21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E6ED6-E5A2-48A5-94A6-DA1FB9D1E1ED}"/>
            </a:ext>
            <a:ext uri="{147F2762-F138-4A5C-976F-8EAC2B608ADB}">
              <a16:predDERef xmlns:a16="http://schemas.microsoft.com/office/drawing/2014/main" pred="{588F4E1D-C083-408B-A617-4B6CB67E3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20</xdr:row>
      <xdr:rowOff>180975</xdr:rowOff>
    </xdr:from>
    <xdr:to>
      <xdr:col>15</xdr:col>
      <xdr:colOff>295275</xdr:colOff>
      <xdr:row>35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07598C-A4F7-4397-A7FE-516B120ED4E2}"/>
            </a:ext>
            <a:ext uri="{147F2762-F138-4A5C-976F-8EAC2B608ADB}">
              <a16:predDERef xmlns:a16="http://schemas.microsoft.com/office/drawing/2014/main" pred="{F59E6ED6-E5A2-48A5-94A6-DA1FB9D1E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295275</xdr:colOff>
      <xdr:row>2</xdr:row>
      <xdr:rowOff>0</xdr:rowOff>
    </xdr:from>
    <xdr:to>
      <xdr:col>7</xdr:col>
      <xdr:colOff>600075</xdr:colOff>
      <xdr:row>16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CF65CF-C060-4F5F-9E81-98D7BA755E62}"/>
            </a:ext>
            <a:ext uri="{147F2762-F138-4A5C-976F-8EAC2B608ADB}">
              <a16:predDERef xmlns:a16="http://schemas.microsoft.com/office/drawing/2014/main" pred="{D507598C-A4F7-4397-A7FE-516B120ED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91430462963" createdVersion="8" refreshedVersion="8" minRefreshableVersion="3" recordCount="31" xr:uid="{24496481-F106-4FBF-BA92-F8696F6EB9C4}">
  <cacheSource type="worksheet">
    <worksheetSource ref="A1:I1048576" sheet="Sales Sheet"/>
  </cacheSource>
  <cacheFields count="9">
    <cacheField name="Date" numFmtId="0">
      <sharedItems containsNonDate="0" containsDate="1" containsString="0" containsBlank="1" minDate="2024-01-19T00:00:00" maxDate="2024-12-23T00:00:00" count="30">
        <d v="2024-11-12T00:00:00"/>
        <d v="2024-08-27T00:00:00"/>
        <d v="2024-04-07T00:00:00"/>
        <d v="2024-10-21T00:00:00"/>
        <d v="2024-07-18T00:00:00"/>
        <d v="2024-01-23T00:00:00"/>
        <d v="2024-12-22T00:00:00"/>
        <d v="2024-10-20T00:00:00"/>
        <d v="2024-03-11T00:00:00"/>
        <d v="2024-04-10T00:00:00"/>
        <d v="2024-06-23T00:00:00"/>
        <d v="2024-05-23T00:00:00"/>
        <d v="2024-06-17T00:00:00"/>
        <d v="2024-10-11T00:00:00"/>
        <d v="2024-05-24T00:00:00"/>
        <d v="2024-02-19T00:00:00"/>
        <d v="2024-02-08T00:00:00"/>
        <d v="2024-09-05T00:00:00"/>
        <d v="2024-11-19T00:00:00"/>
        <d v="2024-09-08T00:00:00"/>
        <d v="2024-01-24T00:00:00"/>
        <d v="2024-01-19T00:00:00"/>
        <d v="2024-12-03T00:00:00"/>
        <d v="2024-10-19T00:00:00"/>
        <d v="2024-11-16T00:00:00"/>
        <d v="2024-05-11T00:00:00"/>
        <d v="2024-03-15T00:00:00"/>
        <d v="2024-08-05T00:00:00"/>
        <d v="2024-09-25T00:00:00"/>
        <m/>
      </sharedItems>
    </cacheField>
    <cacheField name="Product" numFmtId="0">
      <sharedItems containsBlank="1" count="5">
        <s v="Product C"/>
        <s v="Product D"/>
        <s v="Product A"/>
        <s v="Product B"/>
        <m/>
      </sharedItems>
    </cacheField>
    <cacheField name="Sales Quantity" numFmtId="0">
      <sharedItems containsString="0" containsBlank="1" containsNumber="1" containsInteger="1" minValue="1" maxValue="19"/>
    </cacheField>
    <cacheField name="Sales Price" numFmtId="0">
      <sharedItems containsString="0" containsBlank="1" containsNumber="1" containsInteger="1" minValue="101" maxValue="489"/>
    </cacheField>
    <cacheField name="Total Sales" numFmtId="0">
      <sharedItems containsString="0" containsBlank="1" containsNumber="1" containsInteger="1" minValue="149" maxValue="7771"/>
    </cacheField>
    <cacheField name="State" numFmtId="0">
      <sharedItems containsBlank="1" count="31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l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sphire"/>
        <s v="New Jersey"/>
        <m/>
      </sharedItems>
    </cacheField>
    <cacheField name="Salesperson" numFmtId="0">
      <sharedItems containsBlank="1" count="29">
        <s v="John"/>
        <s v="Mike"/>
        <s v="Anna"/>
        <s v="David"/>
        <s v="Lily"/>
        <s v="Emma"/>
        <s v="Sophia"/>
        <s v="James"/>
        <s v="Chris"/>
        <s v="Olivia"/>
        <s v="Ethan"/>
        <s v="Lucas"/>
        <s v="Ava"/>
        <s v="Mason"/>
        <s v="Isabella"/>
        <s v="Liam"/>
        <s v="Benjamin"/>
        <s v="Ella"/>
        <s v="Zoe"/>
        <s v="Charlotte"/>
        <s v="Amelia"/>
        <s v="William"/>
        <s v="Grace"/>
        <s v="Henry"/>
        <s v="Oliver"/>
        <s v="Jack"/>
        <s v="Sophie"/>
        <s v="Mia"/>
        <m/>
      </sharedItems>
    </cacheField>
    <cacheField name="Payment Method" numFmtId="0">
      <sharedItems containsBlank="1" count="4">
        <s v="Credit Card"/>
        <s v="Cash"/>
        <s v="Online Payment"/>
        <m/>
      </sharedItems>
    </cacheField>
    <cacheField name="Profit" numFmtId="0">
      <sharedItems containsString="0" containsBlank="1" containsNumber="1" minValue="70.03" maxValue="3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915357523147" createdVersion="8" refreshedVersion="8" minRefreshableVersion="3" recordCount="30" xr:uid="{DFF574E3-9099-4A82-A855-4E6AE65E9652}">
  <cacheSource type="worksheet">
    <worksheetSource ref="A1:I31" sheet="Sales Sheet"/>
  </cacheSource>
  <cacheFields count="9">
    <cacheField name="Date" numFmtId="15">
      <sharedItems containsSemiMixedTypes="0" containsNonDate="0" containsDate="1" containsString="0" minDate="2024-01-19T00:00:00" maxDate="2024-12-23T00:00:00" count="29">
        <d v="2024-11-12T00:00:00"/>
        <d v="2024-08-27T00:00:00"/>
        <d v="2024-04-07T00:00:00"/>
        <d v="2024-10-21T00:00:00"/>
        <d v="2024-07-18T00:00:00"/>
        <d v="2024-01-23T00:00:00"/>
        <d v="2024-12-22T00:00:00"/>
        <d v="2024-10-20T00:00:00"/>
        <d v="2024-03-11T00:00:00"/>
        <d v="2024-04-10T00:00:00"/>
        <d v="2024-06-23T00:00:00"/>
        <d v="2024-05-23T00:00:00"/>
        <d v="2024-06-17T00:00:00"/>
        <d v="2024-10-11T00:00:00"/>
        <d v="2024-05-24T00:00:00"/>
        <d v="2024-02-19T00:00:00"/>
        <d v="2024-02-08T00:00:00"/>
        <d v="2024-09-05T00:00:00"/>
        <d v="2024-11-19T00:00:00"/>
        <d v="2024-09-08T00:00:00"/>
        <d v="2024-01-24T00:00:00"/>
        <d v="2024-01-19T00:00:00"/>
        <d v="2024-12-03T00:00:00"/>
        <d v="2024-10-19T00:00:00"/>
        <d v="2024-11-16T00:00:00"/>
        <d v="2024-05-11T00:00:00"/>
        <d v="2024-03-15T00:00:00"/>
        <d v="2024-08-05T00:00:00"/>
        <d v="2024-09-25T00:00:00"/>
      </sharedItems>
    </cacheField>
    <cacheField name="Product" numFmtId="0">
      <sharedItems count="4">
        <s v="Product C"/>
        <s v="Product D"/>
        <s v="Product A"/>
        <s v="Product B"/>
      </sharedItems>
    </cacheField>
    <cacheField name="Sales Quantity" numFmtId="0">
      <sharedItems containsSemiMixedTypes="0" containsString="0" containsNumber="1" containsInteger="1" minValue="1" maxValue="19"/>
    </cacheField>
    <cacheField name="Sales Price" numFmtId="0">
      <sharedItems containsSemiMixedTypes="0" containsString="0" containsNumber="1" containsInteger="1" minValue="101" maxValue="489"/>
    </cacheField>
    <cacheField name="Total Sales" numFmtId="0">
      <sharedItems containsSemiMixedTypes="0" containsString="0" containsNumber="1" containsInteger="1" minValue="149" maxValue="7771"/>
    </cacheField>
    <cacheField name="State" numFmtId="0">
      <sharedItems count="3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l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sphire"/>
        <s v="New Jersey"/>
      </sharedItems>
    </cacheField>
    <cacheField name="Salesperson" numFmtId="0">
      <sharedItems count="28">
        <s v="John"/>
        <s v="Mike"/>
        <s v="Anna"/>
        <s v="David"/>
        <s v="Lily"/>
        <s v="Emma"/>
        <s v="Sophia"/>
        <s v="James"/>
        <s v="Chris"/>
        <s v="Olivia"/>
        <s v="Ethan"/>
        <s v="Lucas"/>
        <s v="Ava"/>
        <s v="Mason"/>
        <s v="Isabella"/>
        <s v="Liam"/>
        <s v="Benjamin"/>
        <s v="Ella"/>
        <s v="Zoe"/>
        <s v="Charlotte"/>
        <s v="Amelia"/>
        <s v="William"/>
        <s v="Grace"/>
        <s v="Henry"/>
        <s v="Oliver"/>
        <s v="Jack"/>
        <s v="Sophie"/>
        <s v="Mia"/>
      </sharedItems>
    </cacheField>
    <cacheField name="Payment Method" numFmtId="0">
      <sharedItems count="3">
        <s v="Credit Card"/>
        <s v="Cash"/>
        <s v="Online Payment"/>
      </sharedItems>
    </cacheField>
    <cacheField name="Profit" numFmtId="0">
      <sharedItems containsSemiMixedTypes="0" containsString="0" containsNumber="1" minValue="70.03" maxValue="3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950929976854" createdVersion="8" refreshedVersion="8" minRefreshableVersion="3" recordCount="30" xr:uid="{162C5AD1-D878-4DAD-9195-2BA708F7827D}">
  <cacheSource type="worksheet">
    <worksheetSource ref="I1:J31" sheet="Sales Sheet"/>
  </cacheSource>
  <cacheFields count="2">
    <cacheField name="Profit" numFmtId="0">
      <sharedItems containsSemiMixedTypes="0" containsString="0" containsNumber="1" minValue="70.03" maxValue="3495" count="30">
        <n v="70.03"/>
        <n v="1266.8399999999999"/>
        <n v="2629.8"/>
        <n v="360.57"/>
        <n v="1613.7"/>
        <n v="734.4"/>
        <n v="891.75"/>
        <n v="1400.1"/>
        <n v="2797.56"/>
        <n v="904.8"/>
        <n v="475.5"/>
        <n v="307.45"/>
        <n v="1438.11"/>
        <n v="484.61"/>
        <n v="664.2"/>
        <n v="661.5"/>
        <n v="2974.14"/>
        <n v="680.8"/>
        <n v="2198"/>
        <n v="2274.48"/>
        <n v="1092.42"/>
        <n v="213.3"/>
        <n v="1450.8"/>
        <n v="515.76"/>
        <n v="806.4"/>
        <n v="1258.56"/>
        <n v="3495"/>
        <n v="218.88"/>
        <n v="2069.34"/>
        <n v="2202.52"/>
      </sharedItems>
    </cacheField>
    <cacheField name="MONTH" numFmtId="0">
      <sharedItems count="12">
        <s v="Nov"/>
        <s v="Aug"/>
        <s v="Apr"/>
        <s v="Oct"/>
        <s v="Jul"/>
        <s v="Jan"/>
        <s v="Dec"/>
        <s v="Mar"/>
        <s v="Jun"/>
        <s v="May"/>
        <s v="Feb"/>
        <s v="Sep"/>
      </sharedItems>
    </cacheField>
  </cacheFields>
  <extLst>
    <ext xmlns:x14="http://schemas.microsoft.com/office/spreadsheetml/2009/9/main" uri="{725AE2AE-9491-48be-B2B4-4EB974FC3084}">
      <x14:pivotCacheDefinition pivotCacheId="2008523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n v="1"/>
    <n v="149"/>
    <n v="149"/>
    <x v="0"/>
    <x v="0"/>
    <x v="0"/>
    <n v="70.03"/>
  </r>
  <r>
    <x v="1"/>
    <x v="1"/>
    <n v="12"/>
    <n v="459"/>
    <n v="5508"/>
    <x v="1"/>
    <x v="1"/>
    <x v="1"/>
    <n v="1266.8399999999999"/>
  </r>
  <r>
    <x v="2"/>
    <x v="2"/>
    <n v="12"/>
    <n v="487"/>
    <n v="5844"/>
    <x v="2"/>
    <x v="2"/>
    <x v="2"/>
    <n v="2629.8"/>
  </r>
  <r>
    <x v="3"/>
    <x v="0"/>
    <n v="17"/>
    <n v="101"/>
    <n v="1717"/>
    <x v="3"/>
    <x v="3"/>
    <x v="0"/>
    <n v="360.57"/>
  </r>
  <r>
    <x v="4"/>
    <x v="0"/>
    <n v="10"/>
    <n v="489"/>
    <n v="4890"/>
    <x v="4"/>
    <x v="4"/>
    <x v="1"/>
    <n v="1613.7"/>
  </r>
  <r>
    <x v="5"/>
    <x v="1"/>
    <n v="16"/>
    <n v="153"/>
    <n v="2448"/>
    <x v="5"/>
    <x v="5"/>
    <x v="2"/>
    <n v="734.4"/>
  </r>
  <r>
    <x v="6"/>
    <x v="2"/>
    <n v="15"/>
    <n v="205"/>
    <n v="3075"/>
    <x v="6"/>
    <x v="6"/>
    <x v="0"/>
    <n v="891.75"/>
  </r>
  <r>
    <x v="7"/>
    <x v="2"/>
    <n v="15"/>
    <n v="359"/>
    <n v="5385"/>
    <x v="7"/>
    <x v="7"/>
    <x v="1"/>
    <n v="1400.1"/>
  </r>
  <r>
    <x v="8"/>
    <x v="0"/>
    <n v="19"/>
    <n v="409"/>
    <n v="7771"/>
    <x v="8"/>
    <x v="8"/>
    <x v="0"/>
    <n v="2797.56"/>
  </r>
  <r>
    <x v="9"/>
    <x v="3"/>
    <n v="12"/>
    <n v="290"/>
    <n v="3480"/>
    <x v="9"/>
    <x v="9"/>
    <x v="1"/>
    <n v="904.8"/>
  </r>
  <r>
    <x v="10"/>
    <x v="0"/>
    <n v="3"/>
    <n v="317"/>
    <n v="951"/>
    <x v="10"/>
    <x v="10"/>
    <x v="2"/>
    <n v="475.5"/>
  </r>
  <r>
    <x v="11"/>
    <x v="0"/>
    <n v="5"/>
    <n v="143"/>
    <n v="715"/>
    <x v="11"/>
    <x v="11"/>
    <x v="0"/>
    <n v="307.45"/>
  </r>
  <r>
    <x v="12"/>
    <x v="0"/>
    <n v="19"/>
    <n v="261"/>
    <n v="4959"/>
    <x v="12"/>
    <x v="12"/>
    <x v="1"/>
    <n v="1438.11"/>
  </r>
  <r>
    <x v="13"/>
    <x v="0"/>
    <n v="7"/>
    <n v="301"/>
    <n v="2107"/>
    <x v="13"/>
    <x v="13"/>
    <x v="0"/>
    <n v="484.61"/>
  </r>
  <r>
    <x v="14"/>
    <x v="1"/>
    <n v="9"/>
    <n v="369"/>
    <n v="3321"/>
    <x v="14"/>
    <x v="14"/>
    <x v="2"/>
    <n v="664.2"/>
  </r>
  <r>
    <x v="15"/>
    <x v="2"/>
    <n v="7"/>
    <n v="450"/>
    <n v="3150"/>
    <x v="15"/>
    <x v="15"/>
    <x v="1"/>
    <n v="661.5"/>
  </r>
  <r>
    <x v="16"/>
    <x v="1"/>
    <n v="18"/>
    <n v="403"/>
    <n v="7254"/>
    <x v="16"/>
    <x v="6"/>
    <x v="0"/>
    <n v="2974.14"/>
  </r>
  <r>
    <x v="17"/>
    <x v="1"/>
    <n v="4"/>
    <n v="370"/>
    <n v="1480"/>
    <x v="17"/>
    <x v="16"/>
    <x v="2"/>
    <n v="680.8"/>
  </r>
  <r>
    <x v="18"/>
    <x v="1"/>
    <n v="14"/>
    <n v="314"/>
    <n v="4396"/>
    <x v="18"/>
    <x v="17"/>
    <x v="1"/>
    <n v="2198"/>
  </r>
  <r>
    <x v="19"/>
    <x v="0"/>
    <n v="18"/>
    <n v="351"/>
    <n v="6318"/>
    <x v="19"/>
    <x v="18"/>
    <x v="0"/>
    <n v="2274.48"/>
  </r>
  <r>
    <x v="20"/>
    <x v="3"/>
    <n v="9"/>
    <n v="289"/>
    <n v="2601"/>
    <x v="20"/>
    <x v="19"/>
    <x v="2"/>
    <n v="1092.42"/>
  </r>
  <r>
    <x v="21"/>
    <x v="2"/>
    <n v="2"/>
    <n v="395"/>
    <n v="790"/>
    <x v="21"/>
    <x v="20"/>
    <x v="1"/>
    <n v="213.3"/>
  </r>
  <r>
    <x v="22"/>
    <x v="3"/>
    <n v="15"/>
    <n v="312"/>
    <n v="4680"/>
    <x v="22"/>
    <x v="21"/>
    <x v="0"/>
    <n v="1450.8"/>
  </r>
  <r>
    <x v="12"/>
    <x v="1"/>
    <n v="7"/>
    <n v="307"/>
    <n v="2149"/>
    <x v="23"/>
    <x v="22"/>
    <x v="2"/>
    <n v="515.76"/>
  </r>
  <r>
    <x v="23"/>
    <x v="1"/>
    <n v="12"/>
    <n v="336"/>
    <n v="4032"/>
    <x v="24"/>
    <x v="23"/>
    <x v="1"/>
    <n v="806.4"/>
  </r>
  <r>
    <x v="24"/>
    <x v="3"/>
    <n v="8"/>
    <n v="437"/>
    <n v="3496"/>
    <x v="25"/>
    <x v="24"/>
    <x v="0"/>
    <n v="1258.56"/>
  </r>
  <r>
    <x v="25"/>
    <x v="1"/>
    <n v="15"/>
    <n v="466"/>
    <n v="6990"/>
    <x v="26"/>
    <x v="25"/>
    <x v="2"/>
    <n v="3495"/>
  </r>
  <r>
    <x v="26"/>
    <x v="3"/>
    <n v="3"/>
    <n v="152"/>
    <n v="456"/>
    <x v="27"/>
    <x v="26"/>
    <x v="1"/>
    <n v="218.88"/>
  </r>
  <r>
    <x v="27"/>
    <x v="3"/>
    <n v="14"/>
    <n v="379"/>
    <n v="5306"/>
    <x v="28"/>
    <x v="27"/>
    <x v="2"/>
    <n v="2069.34"/>
  </r>
  <r>
    <x v="28"/>
    <x v="1"/>
    <n v="17"/>
    <n v="316"/>
    <n v="5372"/>
    <x v="29"/>
    <x v="7"/>
    <x v="1"/>
    <n v="2202.52"/>
  </r>
  <r>
    <x v="29"/>
    <x v="4"/>
    <m/>
    <m/>
    <m/>
    <x v="30"/>
    <x v="28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"/>
    <n v="149"/>
    <n v="149"/>
    <x v="0"/>
    <x v="0"/>
    <x v="0"/>
    <n v="70.03"/>
  </r>
  <r>
    <x v="1"/>
    <x v="1"/>
    <n v="12"/>
    <n v="459"/>
    <n v="5508"/>
    <x v="1"/>
    <x v="1"/>
    <x v="1"/>
    <n v="1266.8399999999999"/>
  </r>
  <r>
    <x v="2"/>
    <x v="2"/>
    <n v="12"/>
    <n v="487"/>
    <n v="5844"/>
    <x v="2"/>
    <x v="2"/>
    <x v="2"/>
    <n v="2629.8"/>
  </r>
  <r>
    <x v="3"/>
    <x v="0"/>
    <n v="17"/>
    <n v="101"/>
    <n v="1717"/>
    <x v="3"/>
    <x v="3"/>
    <x v="0"/>
    <n v="360.57"/>
  </r>
  <r>
    <x v="4"/>
    <x v="0"/>
    <n v="10"/>
    <n v="489"/>
    <n v="4890"/>
    <x v="4"/>
    <x v="4"/>
    <x v="1"/>
    <n v="1613.7"/>
  </r>
  <r>
    <x v="5"/>
    <x v="1"/>
    <n v="16"/>
    <n v="153"/>
    <n v="2448"/>
    <x v="5"/>
    <x v="5"/>
    <x v="2"/>
    <n v="734.4"/>
  </r>
  <r>
    <x v="6"/>
    <x v="2"/>
    <n v="15"/>
    <n v="205"/>
    <n v="3075"/>
    <x v="6"/>
    <x v="6"/>
    <x v="0"/>
    <n v="891.75"/>
  </r>
  <r>
    <x v="7"/>
    <x v="2"/>
    <n v="15"/>
    <n v="359"/>
    <n v="5385"/>
    <x v="7"/>
    <x v="7"/>
    <x v="1"/>
    <n v="1400.1"/>
  </r>
  <r>
    <x v="8"/>
    <x v="0"/>
    <n v="19"/>
    <n v="409"/>
    <n v="7771"/>
    <x v="8"/>
    <x v="8"/>
    <x v="0"/>
    <n v="2797.56"/>
  </r>
  <r>
    <x v="9"/>
    <x v="3"/>
    <n v="12"/>
    <n v="290"/>
    <n v="3480"/>
    <x v="9"/>
    <x v="9"/>
    <x v="1"/>
    <n v="904.8"/>
  </r>
  <r>
    <x v="10"/>
    <x v="0"/>
    <n v="3"/>
    <n v="317"/>
    <n v="951"/>
    <x v="10"/>
    <x v="10"/>
    <x v="2"/>
    <n v="475.5"/>
  </r>
  <r>
    <x v="11"/>
    <x v="0"/>
    <n v="5"/>
    <n v="143"/>
    <n v="715"/>
    <x v="11"/>
    <x v="11"/>
    <x v="0"/>
    <n v="307.45"/>
  </r>
  <r>
    <x v="12"/>
    <x v="0"/>
    <n v="19"/>
    <n v="261"/>
    <n v="4959"/>
    <x v="12"/>
    <x v="12"/>
    <x v="1"/>
    <n v="1438.11"/>
  </r>
  <r>
    <x v="13"/>
    <x v="0"/>
    <n v="7"/>
    <n v="301"/>
    <n v="2107"/>
    <x v="13"/>
    <x v="13"/>
    <x v="0"/>
    <n v="484.61"/>
  </r>
  <r>
    <x v="14"/>
    <x v="1"/>
    <n v="9"/>
    <n v="369"/>
    <n v="3321"/>
    <x v="14"/>
    <x v="14"/>
    <x v="2"/>
    <n v="664.2"/>
  </r>
  <r>
    <x v="15"/>
    <x v="2"/>
    <n v="7"/>
    <n v="450"/>
    <n v="3150"/>
    <x v="15"/>
    <x v="15"/>
    <x v="1"/>
    <n v="661.5"/>
  </r>
  <r>
    <x v="16"/>
    <x v="1"/>
    <n v="18"/>
    <n v="403"/>
    <n v="7254"/>
    <x v="16"/>
    <x v="6"/>
    <x v="0"/>
    <n v="2974.14"/>
  </r>
  <r>
    <x v="17"/>
    <x v="1"/>
    <n v="4"/>
    <n v="370"/>
    <n v="1480"/>
    <x v="17"/>
    <x v="16"/>
    <x v="2"/>
    <n v="680.8"/>
  </r>
  <r>
    <x v="18"/>
    <x v="1"/>
    <n v="14"/>
    <n v="314"/>
    <n v="4396"/>
    <x v="18"/>
    <x v="17"/>
    <x v="1"/>
    <n v="2198"/>
  </r>
  <r>
    <x v="19"/>
    <x v="0"/>
    <n v="18"/>
    <n v="351"/>
    <n v="6318"/>
    <x v="19"/>
    <x v="18"/>
    <x v="0"/>
    <n v="2274.48"/>
  </r>
  <r>
    <x v="20"/>
    <x v="3"/>
    <n v="9"/>
    <n v="289"/>
    <n v="2601"/>
    <x v="20"/>
    <x v="19"/>
    <x v="2"/>
    <n v="1092.42"/>
  </r>
  <r>
    <x v="21"/>
    <x v="2"/>
    <n v="2"/>
    <n v="395"/>
    <n v="790"/>
    <x v="21"/>
    <x v="20"/>
    <x v="1"/>
    <n v="213.3"/>
  </r>
  <r>
    <x v="22"/>
    <x v="3"/>
    <n v="15"/>
    <n v="312"/>
    <n v="4680"/>
    <x v="22"/>
    <x v="21"/>
    <x v="0"/>
    <n v="1450.8"/>
  </r>
  <r>
    <x v="12"/>
    <x v="1"/>
    <n v="7"/>
    <n v="307"/>
    <n v="2149"/>
    <x v="23"/>
    <x v="22"/>
    <x v="2"/>
    <n v="515.76"/>
  </r>
  <r>
    <x v="23"/>
    <x v="1"/>
    <n v="12"/>
    <n v="336"/>
    <n v="4032"/>
    <x v="24"/>
    <x v="23"/>
    <x v="1"/>
    <n v="806.4"/>
  </r>
  <r>
    <x v="24"/>
    <x v="3"/>
    <n v="8"/>
    <n v="437"/>
    <n v="3496"/>
    <x v="25"/>
    <x v="24"/>
    <x v="0"/>
    <n v="1258.56"/>
  </r>
  <r>
    <x v="25"/>
    <x v="1"/>
    <n v="15"/>
    <n v="466"/>
    <n v="6990"/>
    <x v="26"/>
    <x v="25"/>
    <x v="2"/>
    <n v="3495"/>
  </r>
  <r>
    <x v="26"/>
    <x v="3"/>
    <n v="3"/>
    <n v="152"/>
    <n v="456"/>
    <x v="27"/>
    <x v="26"/>
    <x v="1"/>
    <n v="218.88"/>
  </r>
  <r>
    <x v="27"/>
    <x v="3"/>
    <n v="14"/>
    <n v="379"/>
    <n v="5306"/>
    <x v="28"/>
    <x v="27"/>
    <x v="2"/>
    <n v="2069.34"/>
  </r>
  <r>
    <x v="28"/>
    <x v="1"/>
    <n v="17"/>
    <n v="316"/>
    <n v="5372"/>
    <x v="29"/>
    <x v="7"/>
    <x v="1"/>
    <n v="2202.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3"/>
  </r>
  <r>
    <x v="8"/>
    <x v="7"/>
  </r>
  <r>
    <x v="9"/>
    <x v="2"/>
  </r>
  <r>
    <x v="10"/>
    <x v="8"/>
  </r>
  <r>
    <x v="11"/>
    <x v="9"/>
  </r>
  <r>
    <x v="12"/>
    <x v="8"/>
  </r>
  <r>
    <x v="13"/>
    <x v="3"/>
  </r>
  <r>
    <x v="14"/>
    <x v="9"/>
  </r>
  <r>
    <x v="15"/>
    <x v="10"/>
  </r>
  <r>
    <x v="16"/>
    <x v="10"/>
  </r>
  <r>
    <x v="17"/>
    <x v="11"/>
  </r>
  <r>
    <x v="18"/>
    <x v="0"/>
  </r>
  <r>
    <x v="19"/>
    <x v="11"/>
  </r>
  <r>
    <x v="20"/>
    <x v="5"/>
  </r>
  <r>
    <x v="21"/>
    <x v="5"/>
  </r>
  <r>
    <x v="22"/>
    <x v="6"/>
  </r>
  <r>
    <x v="23"/>
    <x v="8"/>
  </r>
  <r>
    <x v="24"/>
    <x v="3"/>
  </r>
  <r>
    <x v="25"/>
    <x v="0"/>
  </r>
  <r>
    <x v="26"/>
    <x v="9"/>
  </r>
  <r>
    <x v="27"/>
    <x v="7"/>
  </r>
  <r>
    <x v="28"/>
    <x v="1"/>
  </r>
  <r>
    <x v="2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B98F6-D8A9-4E88-AE89-92C9391A729F}" name="PivotTable4" cacheId="5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I152" firstHeaderRow="0" firstDataRow="1" firstDataCol="5"/>
  <pivotFields count="9">
    <pivotField axis="axisRow" compact="0" outline="0" showAll="0">
      <items count="31">
        <item x="21"/>
        <item x="5"/>
        <item sd="0" x="20"/>
        <item x="16"/>
        <item x="15"/>
        <item x="8"/>
        <item x="26"/>
        <item x="2"/>
        <item x="9"/>
        <item x="25"/>
        <item x="11"/>
        <item x="14"/>
        <item x="12"/>
        <item x="10"/>
        <item x="4"/>
        <item x="27"/>
        <item x="1"/>
        <item x="17"/>
        <item x="19"/>
        <item x="28"/>
        <item x="13"/>
        <item x="23"/>
        <item x="7"/>
        <item x="3"/>
        <item x="0"/>
        <item x="24"/>
        <item x="18"/>
        <item x="22"/>
        <item x="6"/>
        <item x="29"/>
        <item t="default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outline="0" showAll="0">
      <items count="30">
        <item x="20"/>
        <item x="2"/>
        <item x="12"/>
        <item x="16"/>
        <item x="19"/>
        <item x="8"/>
        <item x="3"/>
        <item x="17"/>
        <item x="5"/>
        <item x="10"/>
        <item x="22"/>
        <item x="23"/>
        <item x="14"/>
        <item x="25"/>
        <item x="7"/>
        <item x="0"/>
        <item x="15"/>
        <item x="4"/>
        <item x="11"/>
        <item x="13"/>
        <item x="27"/>
        <item x="1"/>
        <item x="24"/>
        <item x="9"/>
        <item x="6"/>
        <item x="26"/>
        <item x="21"/>
        <item x="18"/>
        <item x="28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</pivotFields>
  <rowFields count="5">
    <field x="0"/>
    <field x="1"/>
    <field x="6"/>
    <field x="7"/>
    <field x="5"/>
  </rowFields>
  <rowItems count="151">
    <i>
      <x/>
      <x/>
      <x/>
      <x/>
      <x v="21"/>
    </i>
    <i t="default" r="3">
      <x/>
    </i>
    <i t="default" r="2">
      <x/>
    </i>
    <i t="default" r="1">
      <x/>
    </i>
    <i t="default">
      <x/>
    </i>
    <i>
      <x v="1"/>
      <x v="3"/>
      <x v="8"/>
      <x v="2"/>
      <x v="5"/>
    </i>
    <i t="default" r="3">
      <x v="2"/>
    </i>
    <i t="default" r="2">
      <x v="8"/>
    </i>
    <i t="default" r="1">
      <x v="3"/>
    </i>
    <i t="default">
      <x v="1"/>
    </i>
    <i>
      <x v="2"/>
    </i>
    <i>
      <x v="3"/>
      <x v="3"/>
      <x v="24"/>
      <x v="1"/>
      <x v="15"/>
    </i>
    <i t="default" r="3">
      <x v="1"/>
    </i>
    <i t="default" r="2">
      <x v="24"/>
    </i>
    <i t="default" r="1">
      <x v="3"/>
    </i>
    <i t="default">
      <x v="3"/>
    </i>
    <i>
      <x v="4"/>
      <x/>
      <x v="16"/>
      <x/>
      <x v="14"/>
    </i>
    <i t="default" r="3">
      <x/>
    </i>
    <i t="default" r="2">
      <x v="16"/>
    </i>
    <i t="default" r="1">
      <x/>
    </i>
    <i t="default">
      <x v="4"/>
    </i>
    <i>
      <x v="5"/>
      <x v="2"/>
      <x v="5"/>
      <x v="1"/>
      <x v="8"/>
    </i>
    <i t="default" r="3">
      <x v="1"/>
    </i>
    <i t="default" r="2">
      <x v="5"/>
    </i>
    <i t="default" r="1">
      <x v="2"/>
    </i>
    <i t="default">
      <x v="5"/>
    </i>
    <i>
      <x v="6"/>
      <x v="1"/>
      <x v="25"/>
      <x/>
      <x v="27"/>
    </i>
    <i t="default" r="3">
      <x/>
    </i>
    <i t="default" r="2">
      <x v="25"/>
    </i>
    <i t="default" r="1">
      <x v="1"/>
    </i>
    <i t="default">
      <x v="6"/>
    </i>
    <i>
      <x v="7"/>
      <x/>
      <x v="1"/>
      <x v="2"/>
      <x v="2"/>
    </i>
    <i t="default" r="3">
      <x v="2"/>
    </i>
    <i t="default" r="2">
      <x v="1"/>
    </i>
    <i t="default" r="1">
      <x/>
    </i>
    <i t="default">
      <x v="7"/>
    </i>
    <i>
      <x v="8"/>
      <x v="1"/>
      <x v="23"/>
      <x/>
      <x v="9"/>
    </i>
    <i t="default" r="3">
      <x/>
    </i>
    <i t="default" r="2">
      <x v="23"/>
    </i>
    <i t="default" r="1">
      <x v="1"/>
    </i>
    <i t="default">
      <x v="8"/>
    </i>
    <i>
      <x v="9"/>
      <x v="3"/>
      <x v="13"/>
      <x v="2"/>
      <x v="26"/>
    </i>
    <i t="default" r="3">
      <x v="2"/>
    </i>
    <i t="default" r="2">
      <x v="13"/>
    </i>
    <i t="default" r="1">
      <x v="3"/>
    </i>
    <i t="default">
      <x v="9"/>
    </i>
    <i>
      <x v="10"/>
      <x v="2"/>
      <x v="18"/>
      <x v="1"/>
      <x v="11"/>
    </i>
    <i t="default" r="3">
      <x v="1"/>
    </i>
    <i t="default" r="2">
      <x v="18"/>
    </i>
    <i t="default" r="1">
      <x v="2"/>
    </i>
    <i t="default">
      <x v="10"/>
    </i>
    <i>
      <x v="11"/>
      <x v="3"/>
      <x v="12"/>
      <x v="2"/>
      <x v="17"/>
    </i>
    <i t="default" r="3">
      <x v="2"/>
    </i>
    <i t="default" r="2">
      <x v="12"/>
    </i>
    <i t="default" r="1">
      <x v="3"/>
    </i>
    <i t="default">
      <x v="11"/>
    </i>
    <i>
      <x v="12"/>
      <x v="2"/>
      <x v="2"/>
      <x/>
      <x v="12"/>
    </i>
    <i t="default" r="3">
      <x/>
    </i>
    <i t="default" r="2">
      <x v="2"/>
    </i>
    <i t="default" r="1">
      <x v="2"/>
    </i>
    <i r="1">
      <x v="3"/>
      <x v="10"/>
      <x v="2"/>
      <x v="23"/>
    </i>
    <i t="default" r="3">
      <x v="2"/>
    </i>
    <i t="default" r="2">
      <x v="10"/>
    </i>
    <i t="default" r="1">
      <x v="3"/>
    </i>
    <i t="default">
      <x v="12"/>
    </i>
    <i>
      <x v="13"/>
      <x v="2"/>
      <x v="9"/>
      <x v="2"/>
      <x v="10"/>
    </i>
    <i t="default" r="3">
      <x v="2"/>
    </i>
    <i t="default" r="2">
      <x v="9"/>
    </i>
    <i t="default" r="1">
      <x v="2"/>
    </i>
    <i t="default">
      <x v="13"/>
    </i>
    <i>
      <x v="14"/>
      <x v="2"/>
      <x v="17"/>
      <x/>
      <x v="4"/>
    </i>
    <i t="default" r="3">
      <x/>
    </i>
    <i t="default" r="2">
      <x v="17"/>
    </i>
    <i t="default" r="1">
      <x v="2"/>
    </i>
    <i t="default">
      <x v="14"/>
    </i>
    <i>
      <x v="15"/>
      <x v="1"/>
      <x v="20"/>
      <x v="2"/>
      <x v="28"/>
    </i>
    <i t="default" r="3">
      <x v="2"/>
    </i>
    <i t="default" r="2">
      <x v="20"/>
    </i>
    <i t="default" r="1">
      <x v="1"/>
    </i>
    <i t="default">
      <x v="15"/>
    </i>
    <i>
      <x v="16"/>
      <x v="3"/>
      <x v="21"/>
      <x/>
      <x v="1"/>
    </i>
    <i t="default" r="3">
      <x/>
    </i>
    <i t="default" r="2">
      <x v="21"/>
    </i>
    <i t="default" r="1">
      <x v="3"/>
    </i>
    <i t="default">
      <x v="16"/>
    </i>
    <i>
      <x v="17"/>
      <x v="3"/>
      <x v="3"/>
      <x v="2"/>
      <x v="16"/>
    </i>
    <i t="default" r="3">
      <x v="2"/>
    </i>
    <i t="default" r="2">
      <x v="3"/>
    </i>
    <i t="default" r="1">
      <x v="3"/>
    </i>
    <i t="default">
      <x v="17"/>
    </i>
    <i>
      <x v="18"/>
      <x v="2"/>
      <x v="27"/>
      <x v="1"/>
      <x v="19"/>
    </i>
    <i t="default" r="3">
      <x v="1"/>
    </i>
    <i t="default" r="2">
      <x v="27"/>
    </i>
    <i t="default" r="1">
      <x v="2"/>
    </i>
    <i t="default">
      <x v="18"/>
    </i>
    <i>
      <x v="19"/>
      <x v="3"/>
      <x v="14"/>
      <x/>
      <x v="29"/>
    </i>
    <i t="default" r="3">
      <x/>
    </i>
    <i t="default" r="2">
      <x v="14"/>
    </i>
    <i t="default" r="1">
      <x v="3"/>
    </i>
    <i t="default">
      <x v="19"/>
    </i>
    <i>
      <x v="20"/>
      <x v="2"/>
      <x v="19"/>
      <x v="1"/>
      <x v="13"/>
    </i>
    <i t="default" r="3">
      <x v="1"/>
    </i>
    <i t="default" r="2">
      <x v="19"/>
    </i>
    <i t="default" r="1">
      <x v="2"/>
    </i>
    <i t="default">
      <x v="20"/>
    </i>
    <i>
      <x v="21"/>
      <x v="3"/>
      <x v="11"/>
      <x/>
      <x v="24"/>
    </i>
    <i t="default" r="3">
      <x/>
    </i>
    <i t="default" r="2">
      <x v="11"/>
    </i>
    <i t="default" r="1">
      <x v="3"/>
    </i>
    <i t="default">
      <x v="21"/>
    </i>
    <i>
      <x v="22"/>
      <x/>
      <x v="14"/>
      <x/>
      <x v="7"/>
    </i>
    <i t="default" r="3">
      <x/>
    </i>
    <i t="default" r="2">
      <x v="14"/>
    </i>
    <i t="default" r="1">
      <x/>
    </i>
    <i t="default">
      <x v="22"/>
    </i>
    <i>
      <x v="23"/>
      <x v="2"/>
      <x v="6"/>
      <x v="1"/>
      <x v="3"/>
    </i>
    <i t="default" r="3">
      <x v="1"/>
    </i>
    <i t="default" r="2">
      <x v="6"/>
    </i>
    <i t="default" r="1">
      <x v="2"/>
    </i>
    <i t="default">
      <x v="23"/>
    </i>
    <i>
      <x v="24"/>
      <x v="2"/>
      <x v="15"/>
      <x v="1"/>
      <x/>
    </i>
    <i t="default" r="3">
      <x v="1"/>
    </i>
    <i t="default" r="2">
      <x v="15"/>
    </i>
    <i t="default" r="1">
      <x v="2"/>
    </i>
    <i t="default">
      <x v="24"/>
    </i>
    <i>
      <x v="25"/>
      <x v="1"/>
      <x v="22"/>
      <x v="1"/>
      <x v="25"/>
    </i>
    <i t="default" r="3">
      <x v="1"/>
    </i>
    <i t="default" r="2">
      <x v="22"/>
    </i>
    <i t="default" r="1">
      <x v="1"/>
    </i>
    <i t="default">
      <x v="25"/>
    </i>
    <i>
      <x v="26"/>
      <x v="3"/>
      <x v="7"/>
      <x/>
      <x v="18"/>
    </i>
    <i t="default" r="3">
      <x/>
    </i>
    <i t="default" r="2">
      <x v="7"/>
    </i>
    <i t="default" r="1">
      <x v="3"/>
    </i>
    <i t="default">
      <x v="26"/>
    </i>
    <i>
      <x v="27"/>
      <x v="1"/>
      <x v="26"/>
      <x v="1"/>
      <x v="22"/>
    </i>
    <i t="default" r="3">
      <x v="1"/>
    </i>
    <i t="default" r="2">
      <x v="26"/>
    </i>
    <i t="default" r="1">
      <x v="1"/>
    </i>
    <i t="default">
      <x v="27"/>
    </i>
    <i>
      <x v="28"/>
      <x/>
      <x v="24"/>
      <x v="1"/>
      <x v="6"/>
    </i>
    <i t="default" r="3">
      <x v="1"/>
    </i>
    <i t="default" r="2">
      <x v="24"/>
    </i>
    <i t="default" r="1">
      <x/>
    </i>
    <i t="default">
      <x v="28"/>
    </i>
    <i>
      <x v="29"/>
      <x v="4"/>
      <x v="28"/>
      <x v="3"/>
      <x v="30"/>
    </i>
    <i t="default" r="3">
      <x v="3"/>
    </i>
    <i t="default" r="2">
      <x v="28"/>
    </i>
    <i t="default" r="1">
      <x v="4"/>
    </i>
    <i t="default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Quantity" fld="2" baseField="0" baseItem="0"/>
    <dataField name="Sum of Sales Price" fld="3" baseField="0" baseItem="0"/>
    <dataField name="Sum of Total Sales" fld="4" baseField="0" baseItem="0"/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40FBC-4630-4010-B20A-5FEE2ACECF6E}" name="PivotTable3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61:J256" firstHeaderRow="1" firstDataRow="1" firstDataCol="4"/>
  <pivotFields count="9">
    <pivotField compact="0" numFmtId="15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outline="0" showAll="0">
      <items count="29">
        <item x="20"/>
        <item x="2"/>
        <item x="12"/>
        <item x="16"/>
        <item x="19"/>
        <item x="8"/>
        <item x="3"/>
        <item x="17"/>
        <item x="5"/>
        <item x="10"/>
        <item x="22"/>
        <item x="23"/>
        <item x="14"/>
        <item x="25"/>
        <item x="7"/>
        <item x="0"/>
        <item x="15"/>
        <item x="4"/>
        <item x="11"/>
        <item x="13"/>
        <item x="27"/>
        <item x="1"/>
        <item x="24"/>
        <item x="9"/>
        <item x="6"/>
        <item x="26"/>
        <item x="21"/>
        <item x="18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4">
    <field x="1"/>
    <field x="5"/>
    <field x="6"/>
    <field x="7"/>
  </rowFields>
  <rowItems count="95">
    <i>
      <x/>
      <x v="2"/>
      <x v="1"/>
      <x v="2"/>
    </i>
    <i t="default" r="2">
      <x v="1"/>
    </i>
    <i t="default" r="1">
      <x v="2"/>
    </i>
    <i r="1">
      <x v="6"/>
      <x v="24"/>
      <x v="1"/>
    </i>
    <i t="default" r="2">
      <x v="24"/>
    </i>
    <i t="default" r="1">
      <x v="6"/>
    </i>
    <i r="1">
      <x v="7"/>
      <x v="14"/>
      <x/>
    </i>
    <i t="default" r="2">
      <x v="14"/>
    </i>
    <i t="default" r="1">
      <x v="7"/>
    </i>
    <i r="1">
      <x v="14"/>
      <x v="16"/>
      <x/>
    </i>
    <i t="default" r="2">
      <x v="16"/>
    </i>
    <i t="default" r="1">
      <x v="14"/>
    </i>
    <i r="1">
      <x v="21"/>
      <x/>
      <x/>
    </i>
    <i t="default" r="2">
      <x/>
    </i>
    <i t="default" r="1">
      <x v="21"/>
    </i>
    <i t="default">
      <x/>
    </i>
    <i>
      <x v="1"/>
      <x v="9"/>
      <x v="23"/>
      <x/>
    </i>
    <i t="default" r="2">
      <x v="23"/>
    </i>
    <i t="default" r="1">
      <x v="9"/>
    </i>
    <i r="1">
      <x v="20"/>
      <x v="4"/>
      <x v="2"/>
    </i>
    <i t="default" r="2">
      <x v="4"/>
    </i>
    <i t="default" r="1">
      <x v="20"/>
    </i>
    <i r="1">
      <x v="22"/>
      <x v="26"/>
      <x v="1"/>
    </i>
    <i t="default" r="2">
      <x v="26"/>
    </i>
    <i t="default" r="1">
      <x v="22"/>
    </i>
    <i r="1">
      <x v="25"/>
      <x v="22"/>
      <x v="1"/>
    </i>
    <i t="default" r="2">
      <x v="22"/>
    </i>
    <i t="default" r="1">
      <x v="25"/>
    </i>
    <i r="1">
      <x v="27"/>
      <x v="25"/>
      <x/>
    </i>
    <i t="default" r="2">
      <x v="25"/>
    </i>
    <i t="default" r="1">
      <x v="27"/>
    </i>
    <i r="1">
      <x v="28"/>
      <x v="20"/>
      <x v="2"/>
    </i>
    <i t="default" r="2">
      <x v="20"/>
    </i>
    <i t="default" r="1">
      <x v="28"/>
    </i>
    <i t="default">
      <x v="1"/>
    </i>
    <i>
      <x v="2"/>
      <x/>
      <x v="15"/>
      <x v="1"/>
    </i>
    <i t="default" r="2">
      <x v="15"/>
    </i>
    <i t="default" r="1">
      <x/>
    </i>
    <i r="1">
      <x v="3"/>
      <x v="6"/>
      <x v="1"/>
    </i>
    <i t="default" r="2">
      <x v="6"/>
    </i>
    <i t="default" r="1">
      <x v="3"/>
    </i>
    <i r="1">
      <x v="4"/>
      <x v="17"/>
      <x/>
    </i>
    <i t="default" r="2">
      <x v="17"/>
    </i>
    <i t="default" r="1">
      <x v="4"/>
    </i>
    <i r="1">
      <x v="8"/>
      <x v="5"/>
      <x v="1"/>
    </i>
    <i t="default" r="2">
      <x v="5"/>
    </i>
    <i t="default" r="1">
      <x v="8"/>
    </i>
    <i r="1">
      <x v="10"/>
      <x v="9"/>
      <x v="2"/>
    </i>
    <i t="default" r="2">
      <x v="9"/>
    </i>
    <i t="default" r="1">
      <x v="10"/>
    </i>
    <i r="1">
      <x v="11"/>
      <x v="18"/>
      <x v="1"/>
    </i>
    <i t="default" r="2">
      <x v="18"/>
    </i>
    <i t="default" r="1">
      <x v="11"/>
    </i>
    <i r="1">
      <x v="12"/>
      <x v="2"/>
      <x/>
    </i>
    <i t="default" r="2">
      <x v="2"/>
    </i>
    <i t="default" r="1">
      <x v="12"/>
    </i>
    <i r="1">
      <x v="13"/>
      <x v="19"/>
      <x v="1"/>
    </i>
    <i t="default" r="2">
      <x v="19"/>
    </i>
    <i t="default" r="1">
      <x v="13"/>
    </i>
    <i r="1">
      <x v="19"/>
      <x v="27"/>
      <x v="1"/>
    </i>
    <i t="default" r="2">
      <x v="27"/>
    </i>
    <i t="default" r="1">
      <x v="19"/>
    </i>
    <i t="default">
      <x v="2"/>
    </i>
    <i>
      <x v="3"/>
      <x v="1"/>
      <x v="21"/>
      <x/>
    </i>
    <i t="default" r="2">
      <x v="21"/>
    </i>
    <i t="default" r="1">
      <x v="1"/>
    </i>
    <i r="1">
      <x v="5"/>
      <x v="8"/>
      <x v="2"/>
    </i>
    <i t="default" r="2">
      <x v="8"/>
    </i>
    <i t="default" r="1">
      <x v="5"/>
    </i>
    <i r="1">
      <x v="15"/>
      <x v="24"/>
      <x v="1"/>
    </i>
    <i t="default" r="2">
      <x v="24"/>
    </i>
    <i t="default" r="1">
      <x v="15"/>
    </i>
    <i r="1">
      <x v="16"/>
      <x v="3"/>
      <x v="2"/>
    </i>
    <i t="default" r="2">
      <x v="3"/>
    </i>
    <i t="default" r="1">
      <x v="16"/>
    </i>
    <i r="1">
      <x v="17"/>
      <x v="12"/>
      <x v="2"/>
    </i>
    <i t="default" r="2">
      <x v="12"/>
    </i>
    <i t="default" r="1">
      <x v="17"/>
    </i>
    <i r="1">
      <x v="18"/>
      <x v="7"/>
      <x/>
    </i>
    <i t="default" r="2">
      <x v="7"/>
    </i>
    <i t="default" r="1">
      <x v="18"/>
    </i>
    <i r="1">
      <x v="23"/>
      <x v="10"/>
      <x v="2"/>
    </i>
    <i t="default" r="2">
      <x v="10"/>
    </i>
    <i t="default" r="1">
      <x v="23"/>
    </i>
    <i r="1">
      <x v="24"/>
      <x v="11"/>
      <x/>
    </i>
    <i t="default" r="2">
      <x v="11"/>
    </i>
    <i t="default" r="1">
      <x v="24"/>
    </i>
    <i r="1">
      <x v="26"/>
      <x v="13"/>
      <x v="2"/>
    </i>
    <i t="default" r="2">
      <x v="13"/>
    </i>
    <i t="default" r="1">
      <x v="26"/>
    </i>
    <i r="1">
      <x v="29"/>
      <x v="14"/>
      <x/>
    </i>
    <i t="default" r="2">
      <x v="14"/>
    </i>
    <i t="default" r="1">
      <x v="29"/>
    </i>
    <i t="default">
      <x v="3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C1F0A-E5C4-4954-A0DA-59B5DDB1B2E0}" name="PivotTable2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6:E246" firstHeaderRow="0" firstDataRow="1" firstDataCol="3"/>
  <pivotFields count="9">
    <pivotField axis="axisRow" compact="0" numFmtId="15" outline="0" showAll="0">
      <items count="30">
        <item x="21"/>
        <item x="5"/>
        <item x="20"/>
        <item x="16"/>
        <item x="15"/>
        <item x="8"/>
        <item x="26"/>
        <item x="2"/>
        <item x="9"/>
        <item x="25"/>
        <item x="11"/>
        <item x="14"/>
        <item x="12"/>
        <item x="10"/>
        <item x="4"/>
        <item x="27"/>
        <item x="1"/>
        <item x="17"/>
        <item x="19"/>
        <item x="28"/>
        <item x="13"/>
        <item x="23"/>
        <item x="7"/>
        <item x="3"/>
        <item x="0"/>
        <item x="24"/>
        <item x="18"/>
        <item x="22"/>
        <item x="6"/>
        <item t="default"/>
      </items>
    </pivotField>
    <pivotField axis="axisRow" compact="0" outline="0" showAll="0">
      <items count="5">
        <item x="2"/>
        <item x="3"/>
        <item x="0"/>
        <item x="1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3">
    <field x="0"/>
    <field x="1"/>
    <field x="7"/>
  </rowFields>
  <rowItems count="90">
    <i>
      <x/>
      <x/>
      <x/>
    </i>
    <i t="default" r="1">
      <x/>
    </i>
    <i t="default">
      <x/>
    </i>
    <i>
      <x v="1"/>
      <x v="3"/>
      <x v="2"/>
    </i>
    <i t="default" r="1">
      <x v="3"/>
    </i>
    <i t="default">
      <x v="1"/>
    </i>
    <i>
      <x v="2"/>
      <x v="1"/>
      <x v="2"/>
    </i>
    <i t="default" r="1">
      <x v="1"/>
    </i>
    <i t="default">
      <x v="2"/>
    </i>
    <i>
      <x v="3"/>
      <x v="3"/>
      <x v="1"/>
    </i>
    <i t="default" r="1">
      <x v="3"/>
    </i>
    <i t="default">
      <x v="3"/>
    </i>
    <i>
      <x v="4"/>
      <x/>
      <x/>
    </i>
    <i t="default" r="1">
      <x/>
    </i>
    <i t="default">
      <x v="4"/>
    </i>
    <i>
      <x v="5"/>
      <x v="2"/>
      <x v="1"/>
    </i>
    <i t="default" r="1">
      <x v="2"/>
    </i>
    <i t="default">
      <x v="5"/>
    </i>
    <i>
      <x v="6"/>
      <x v="1"/>
      <x/>
    </i>
    <i t="default" r="1">
      <x v="1"/>
    </i>
    <i t="default">
      <x v="6"/>
    </i>
    <i>
      <x v="7"/>
      <x/>
      <x v="2"/>
    </i>
    <i t="default" r="1">
      <x/>
    </i>
    <i t="default">
      <x v="7"/>
    </i>
    <i>
      <x v="8"/>
      <x v="1"/>
      <x/>
    </i>
    <i t="default" r="1">
      <x v="1"/>
    </i>
    <i t="default">
      <x v="8"/>
    </i>
    <i>
      <x v="9"/>
      <x v="3"/>
      <x v="2"/>
    </i>
    <i t="default" r="1">
      <x v="3"/>
    </i>
    <i t="default">
      <x v="9"/>
    </i>
    <i>
      <x v="10"/>
      <x v="2"/>
      <x v="1"/>
    </i>
    <i t="default" r="1">
      <x v="2"/>
    </i>
    <i t="default">
      <x v="10"/>
    </i>
    <i>
      <x v="11"/>
      <x v="3"/>
      <x v="2"/>
    </i>
    <i t="default" r="1">
      <x v="3"/>
    </i>
    <i t="default">
      <x v="11"/>
    </i>
    <i>
      <x v="12"/>
      <x v="2"/>
      <x/>
    </i>
    <i t="default" r="1">
      <x v="2"/>
    </i>
    <i r="1">
      <x v="3"/>
      <x v="2"/>
    </i>
    <i t="default" r="1">
      <x v="3"/>
    </i>
    <i t="default">
      <x v="12"/>
    </i>
    <i>
      <x v="13"/>
      <x v="2"/>
      <x v="2"/>
    </i>
    <i t="default" r="1">
      <x v="2"/>
    </i>
    <i t="default">
      <x v="13"/>
    </i>
    <i>
      <x v="14"/>
      <x v="2"/>
      <x/>
    </i>
    <i t="default" r="1">
      <x v="2"/>
    </i>
    <i t="default">
      <x v="14"/>
    </i>
    <i>
      <x v="15"/>
      <x v="1"/>
      <x v="2"/>
    </i>
    <i t="default" r="1">
      <x v="1"/>
    </i>
    <i t="default">
      <x v="15"/>
    </i>
    <i>
      <x v="16"/>
      <x v="3"/>
      <x/>
    </i>
    <i t="default" r="1">
      <x v="3"/>
    </i>
    <i t="default">
      <x v="16"/>
    </i>
    <i>
      <x v="17"/>
      <x v="3"/>
      <x v="2"/>
    </i>
    <i t="default" r="1">
      <x v="3"/>
    </i>
    <i t="default">
      <x v="17"/>
    </i>
    <i>
      <x v="18"/>
      <x v="2"/>
      <x v="1"/>
    </i>
    <i t="default" r="1">
      <x v="2"/>
    </i>
    <i t="default">
      <x v="18"/>
    </i>
    <i>
      <x v="19"/>
      <x v="3"/>
      <x/>
    </i>
    <i t="default" r="1">
      <x v="3"/>
    </i>
    <i t="default">
      <x v="19"/>
    </i>
    <i>
      <x v="20"/>
      <x v="2"/>
      <x v="1"/>
    </i>
    <i t="default" r="1">
      <x v="2"/>
    </i>
    <i t="default">
      <x v="20"/>
    </i>
    <i>
      <x v="21"/>
      <x v="3"/>
      <x/>
    </i>
    <i t="default" r="1">
      <x v="3"/>
    </i>
    <i t="default">
      <x v="21"/>
    </i>
    <i>
      <x v="22"/>
      <x/>
      <x/>
    </i>
    <i t="default" r="1">
      <x/>
    </i>
    <i t="default">
      <x v="22"/>
    </i>
    <i>
      <x v="23"/>
      <x v="2"/>
      <x v="1"/>
    </i>
    <i t="default" r="1">
      <x v="2"/>
    </i>
    <i t="default">
      <x v="23"/>
    </i>
    <i>
      <x v="24"/>
      <x v="2"/>
      <x v="1"/>
    </i>
    <i t="default" r="1">
      <x v="2"/>
    </i>
    <i t="default">
      <x v="24"/>
    </i>
    <i>
      <x v="25"/>
      <x v="1"/>
      <x v="1"/>
    </i>
    <i t="default" r="1">
      <x v="1"/>
    </i>
    <i t="default">
      <x v="25"/>
    </i>
    <i>
      <x v="26"/>
      <x v="3"/>
      <x/>
    </i>
    <i t="default" r="1">
      <x v="3"/>
    </i>
    <i t="default">
      <x v="26"/>
    </i>
    <i>
      <x v="27"/>
      <x v="1"/>
      <x v="1"/>
    </i>
    <i t="default" r="1">
      <x v="1"/>
    </i>
    <i t="default">
      <x v="27"/>
    </i>
    <i>
      <x v="28"/>
      <x/>
      <x v="1"/>
    </i>
    <i t="default" r="1">
      <x/>
    </i>
    <i t="default"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Quantity" fld="2" baseField="0" baseItem="0"/>
    <dataField name="Sum of Sales Pric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04136-7235-4137-A0DF-26E23A0CB1E2}" name="PivotTable1" cacheId="5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I152" firstHeaderRow="0" firstDataRow="1" firstDataCol="5"/>
  <pivotFields count="9">
    <pivotField axis="axisRow" compact="0" outline="0" showAll="0">
      <items count="31">
        <item x="21"/>
        <item x="5"/>
        <item sd="0" x="20"/>
        <item x="16"/>
        <item x="15"/>
        <item x="8"/>
        <item x="26"/>
        <item x="2"/>
        <item x="9"/>
        <item x="25"/>
        <item x="11"/>
        <item x="14"/>
        <item x="12"/>
        <item x="10"/>
        <item x="4"/>
        <item x="27"/>
        <item x="1"/>
        <item x="17"/>
        <item x="19"/>
        <item x="28"/>
        <item x="13"/>
        <item x="23"/>
        <item x="7"/>
        <item x="3"/>
        <item x="0"/>
        <item x="24"/>
        <item x="18"/>
        <item x="22"/>
        <item x="6"/>
        <item x="29"/>
        <item t="default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outline="0" showAll="0">
      <items count="30">
        <item x="20"/>
        <item x="2"/>
        <item x="12"/>
        <item x="16"/>
        <item x="19"/>
        <item x="8"/>
        <item x="3"/>
        <item x="17"/>
        <item x="5"/>
        <item x="10"/>
        <item x="22"/>
        <item x="23"/>
        <item x="14"/>
        <item x="25"/>
        <item x="7"/>
        <item x="0"/>
        <item x="15"/>
        <item x="4"/>
        <item x="11"/>
        <item x="13"/>
        <item x="27"/>
        <item x="1"/>
        <item x="24"/>
        <item x="9"/>
        <item x="6"/>
        <item x="26"/>
        <item x="21"/>
        <item x="18"/>
        <item x="28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</pivotFields>
  <rowFields count="5">
    <field x="0"/>
    <field x="1"/>
    <field x="6"/>
    <field x="7"/>
    <field x="5"/>
  </rowFields>
  <rowItems count="151">
    <i>
      <x/>
      <x/>
      <x/>
      <x/>
      <x v="21"/>
    </i>
    <i t="default" r="3">
      <x/>
    </i>
    <i t="default" r="2">
      <x/>
    </i>
    <i t="default" r="1">
      <x/>
    </i>
    <i t="default">
      <x/>
    </i>
    <i>
      <x v="1"/>
      <x v="3"/>
      <x v="8"/>
      <x v="2"/>
      <x v="5"/>
    </i>
    <i t="default" r="3">
      <x v="2"/>
    </i>
    <i t="default" r="2">
      <x v="8"/>
    </i>
    <i t="default" r="1">
      <x v="3"/>
    </i>
    <i t="default">
      <x v="1"/>
    </i>
    <i>
      <x v="2"/>
    </i>
    <i>
      <x v="3"/>
      <x v="3"/>
      <x v="24"/>
      <x v="1"/>
      <x v="15"/>
    </i>
    <i t="default" r="3">
      <x v="1"/>
    </i>
    <i t="default" r="2">
      <x v="24"/>
    </i>
    <i t="default" r="1">
      <x v="3"/>
    </i>
    <i t="default">
      <x v="3"/>
    </i>
    <i>
      <x v="4"/>
      <x/>
      <x v="16"/>
      <x/>
      <x v="14"/>
    </i>
    <i t="default" r="3">
      <x/>
    </i>
    <i t="default" r="2">
      <x v="16"/>
    </i>
    <i t="default" r="1">
      <x/>
    </i>
    <i t="default">
      <x v="4"/>
    </i>
    <i>
      <x v="5"/>
      <x v="2"/>
      <x v="5"/>
      <x v="1"/>
      <x v="8"/>
    </i>
    <i t="default" r="3">
      <x v="1"/>
    </i>
    <i t="default" r="2">
      <x v="5"/>
    </i>
    <i t="default" r="1">
      <x v="2"/>
    </i>
    <i t="default">
      <x v="5"/>
    </i>
    <i>
      <x v="6"/>
      <x v="1"/>
      <x v="25"/>
      <x/>
      <x v="27"/>
    </i>
    <i t="default" r="3">
      <x/>
    </i>
    <i t="default" r="2">
      <x v="25"/>
    </i>
    <i t="default" r="1">
      <x v="1"/>
    </i>
    <i t="default">
      <x v="6"/>
    </i>
    <i>
      <x v="7"/>
      <x/>
      <x v="1"/>
      <x v="2"/>
      <x v="2"/>
    </i>
    <i t="default" r="3">
      <x v="2"/>
    </i>
    <i t="default" r="2">
      <x v="1"/>
    </i>
    <i t="default" r="1">
      <x/>
    </i>
    <i t="default">
      <x v="7"/>
    </i>
    <i>
      <x v="8"/>
      <x v="1"/>
      <x v="23"/>
      <x/>
      <x v="9"/>
    </i>
    <i t="default" r="3">
      <x/>
    </i>
    <i t="default" r="2">
      <x v="23"/>
    </i>
    <i t="default" r="1">
      <x v="1"/>
    </i>
    <i t="default">
      <x v="8"/>
    </i>
    <i>
      <x v="9"/>
      <x v="3"/>
      <x v="13"/>
      <x v="2"/>
      <x v="26"/>
    </i>
    <i t="default" r="3">
      <x v="2"/>
    </i>
    <i t="default" r="2">
      <x v="13"/>
    </i>
    <i t="default" r="1">
      <x v="3"/>
    </i>
    <i t="default">
      <x v="9"/>
    </i>
    <i>
      <x v="10"/>
      <x v="2"/>
      <x v="18"/>
      <x v="1"/>
      <x v="11"/>
    </i>
    <i t="default" r="3">
      <x v="1"/>
    </i>
    <i t="default" r="2">
      <x v="18"/>
    </i>
    <i t="default" r="1">
      <x v="2"/>
    </i>
    <i t="default">
      <x v="10"/>
    </i>
    <i>
      <x v="11"/>
      <x v="3"/>
      <x v="12"/>
      <x v="2"/>
      <x v="17"/>
    </i>
    <i t="default" r="3">
      <x v="2"/>
    </i>
    <i t="default" r="2">
      <x v="12"/>
    </i>
    <i t="default" r="1">
      <x v="3"/>
    </i>
    <i t="default">
      <x v="11"/>
    </i>
    <i>
      <x v="12"/>
      <x v="2"/>
      <x v="2"/>
      <x/>
      <x v="12"/>
    </i>
    <i t="default" r="3">
      <x/>
    </i>
    <i t="default" r="2">
      <x v="2"/>
    </i>
    <i t="default" r="1">
      <x v="2"/>
    </i>
    <i r="1">
      <x v="3"/>
      <x v="10"/>
      <x v="2"/>
      <x v="23"/>
    </i>
    <i t="default" r="3">
      <x v="2"/>
    </i>
    <i t="default" r="2">
      <x v="10"/>
    </i>
    <i t="default" r="1">
      <x v="3"/>
    </i>
    <i t="default">
      <x v="12"/>
    </i>
    <i>
      <x v="13"/>
      <x v="2"/>
      <x v="9"/>
      <x v="2"/>
      <x v="10"/>
    </i>
    <i t="default" r="3">
      <x v="2"/>
    </i>
    <i t="default" r="2">
      <x v="9"/>
    </i>
    <i t="default" r="1">
      <x v="2"/>
    </i>
    <i t="default">
      <x v="13"/>
    </i>
    <i>
      <x v="14"/>
      <x v="2"/>
      <x v="17"/>
      <x/>
      <x v="4"/>
    </i>
    <i t="default" r="3">
      <x/>
    </i>
    <i t="default" r="2">
      <x v="17"/>
    </i>
    <i t="default" r="1">
      <x v="2"/>
    </i>
    <i t="default">
      <x v="14"/>
    </i>
    <i>
      <x v="15"/>
      <x v="1"/>
      <x v="20"/>
      <x v="2"/>
      <x v="28"/>
    </i>
    <i t="default" r="3">
      <x v="2"/>
    </i>
    <i t="default" r="2">
      <x v="20"/>
    </i>
    <i t="default" r="1">
      <x v="1"/>
    </i>
    <i t="default">
      <x v="15"/>
    </i>
    <i>
      <x v="16"/>
      <x v="3"/>
      <x v="21"/>
      <x/>
      <x v="1"/>
    </i>
    <i t="default" r="3">
      <x/>
    </i>
    <i t="default" r="2">
      <x v="21"/>
    </i>
    <i t="default" r="1">
      <x v="3"/>
    </i>
    <i t="default">
      <x v="16"/>
    </i>
    <i>
      <x v="17"/>
      <x v="3"/>
      <x v="3"/>
      <x v="2"/>
      <x v="16"/>
    </i>
    <i t="default" r="3">
      <x v="2"/>
    </i>
    <i t="default" r="2">
      <x v="3"/>
    </i>
    <i t="default" r="1">
      <x v="3"/>
    </i>
    <i t="default">
      <x v="17"/>
    </i>
    <i>
      <x v="18"/>
      <x v="2"/>
      <x v="27"/>
      <x v="1"/>
      <x v="19"/>
    </i>
    <i t="default" r="3">
      <x v="1"/>
    </i>
    <i t="default" r="2">
      <x v="27"/>
    </i>
    <i t="default" r="1">
      <x v="2"/>
    </i>
    <i t="default">
      <x v="18"/>
    </i>
    <i>
      <x v="19"/>
      <x v="3"/>
      <x v="14"/>
      <x/>
      <x v="29"/>
    </i>
    <i t="default" r="3">
      <x/>
    </i>
    <i t="default" r="2">
      <x v="14"/>
    </i>
    <i t="default" r="1">
      <x v="3"/>
    </i>
    <i t="default">
      <x v="19"/>
    </i>
    <i>
      <x v="20"/>
      <x v="2"/>
      <x v="19"/>
      <x v="1"/>
      <x v="13"/>
    </i>
    <i t="default" r="3">
      <x v="1"/>
    </i>
    <i t="default" r="2">
      <x v="19"/>
    </i>
    <i t="default" r="1">
      <x v="2"/>
    </i>
    <i t="default">
      <x v="20"/>
    </i>
    <i>
      <x v="21"/>
      <x v="3"/>
      <x v="11"/>
      <x/>
      <x v="24"/>
    </i>
    <i t="default" r="3">
      <x/>
    </i>
    <i t="default" r="2">
      <x v="11"/>
    </i>
    <i t="default" r="1">
      <x v="3"/>
    </i>
    <i t="default">
      <x v="21"/>
    </i>
    <i>
      <x v="22"/>
      <x/>
      <x v="14"/>
      <x/>
      <x v="7"/>
    </i>
    <i t="default" r="3">
      <x/>
    </i>
    <i t="default" r="2">
      <x v="14"/>
    </i>
    <i t="default" r="1">
      <x/>
    </i>
    <i t="default">
      <x v="22"/>
    </i>
    <i>
      <x v="23"/>
      <x v="2"/>
      <x v="6"/>
      <x v="1"/>
      <x v="3"/>
    </i>
    <i t="default" r="3">
      <x v="1"/>
    </i>
    <i t="default" r="2">
      <x v="6"/>
    </i>
    <i t="default" r="1">
      <x v="2"/>
    </i>
    <i t="default">
      <x v="23"/>
    </i>
    <i>
      <x v="24"/>
      <x v="2"/>
      <x v="15"/>
      <x v="1"/>
      <x/>
    </i>
    <i t="default" r="3">
      <x v="1"/>
    </i>
    <i t="default" r="2">
      <x v="15"/>
    </i>
    <i t="default" r="1">
      <x v="2"/>
    </i>
    <i t="default">
      <x v="24"/>
    </i>
    <i>
      <x v="25"/>
      <x v="1"/>
      <x v="22"/>
      <x v="1"/>
      <x v="25"/>
    </i>
    <i t="default" r="3">
      <x v="1"/>
    </i>
    <i t="default" r="2">
      <x v="22"/>
    </i>
    <i t="default" r="1">
      <x v="1"/>
    </i>
    <i t="default">
      <x v="25"/>
    </i>
    <i>
      <x v="26"/>
      <x v="3"/>
      <x v="7"/>
      <x/>
      <x v="18"/>
    </i>
    <i t="default" r="3">
      <x/>
    </i>
    <i t="default" r="2">
      <x v="7"/>
    </i>
    <i t="default" r="1">
      <x v="3"/>
    </i>
    <i t="default">
      <x v="26"/>
    </i>
    <i>
      <x v="27"/>
      <x v="1"/>
      <x v="26"/>
      <x v="1"/>
      <x v="22"/>
    </i>
    <i t="default" r="3">
      <x v="1"/>
    </i>
    <i t="default" r="2">
      <x v="26"/>
    </i>
    <i t="default" r="1">
      <x v="1"/>
    </i>
    <i t="default">
      <x v="27"/>
    </i>
    <i>
      <x v="28"/>
      <x/>
      <x v="24"/>
      <x v="1"/>
      <x v="6"/>
    </i>
    <i t="default" r="3">
      <x v="1"/>
    </i>
    <i t="default" r="2">
      <x v="24"/>
    </i>
    <i t="default" r="1">
      <x/>
    </i>
    <i t="default">
      <x v="28"/>
    </i>
    <i>
      <x v="29"/>
      <x v="4"/>
      <x v="28"/>
      <x v="3"/>
      <x v="30"/>
    </i>
    <i t="default" r="3">
      <x v="3"/>
    </i>
    <i t="default" r="2">
      <x v="28"/>
    </i>
    <i t="default" r="1">
      <x v="4"/>
    </i>
    <i t="default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Quantity" fld="2" baseField="0" baseItem="0"/>
    <dataField name="Sum of Sales Price" fld="3" baseField="0" baseItem="0"/>
    <dataField name="Sum of Total Sales" fld="4" baseField="0" baseItem="0"/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780E1-FB5C-4B80-8865-BF67D7ED9690}" name="PivotTable5" cacheId="5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0">
  <location ref="A252:B265" firstHeaderRow="1" firstDataRow="1" firstDataCol="1"/>
  <pivotFields count="2">
    <pivotField dataField="1" compact="0" outline="0" showAll="0">
      <items count="31">
        <item x="0"/>
        <item x="21"/>
        <item x="27"/>
        <item x="11"/>
        <item x="3"/>
        <item x="10"/>
        <item x="13"/>
        <item x="23"/>
        <item x="15"/>
        <item x="14"/>
        <item x="17"/>
        <item x="5"/>
        <item x="24"/>
        <item x="6"/>
        <item x="9"/>
        <item x="20"/>
        <item x="25"/>
        <item x="1"/>
        <item x="7"/>
        <item x="12"/>
        <item x="22"/>
        <item x="4"/>
        <item x="28"/>
        <item x="18"/>
        <item x="29"/>
        <item x="19"/>
        <item x="2"/>
        <item x="8"/>
        <item x="16"/>
        <item x="26"/>
        <item t="default"/>
      </items>
    </pivotField>
    <pivotField axis="axisRow" compact="0" outline="0" showAll="0">
      <items count="13">
        <item x="5"/>
        <item x="10"/>
        <item x="7"/>
        <item x="2"/>
        <item x="9"/>
        <item x="8"/>
        <item x="4"/>
        <item x="1"/>
        <item x="11"/>
        <item x="3"/>
        <item x="0"/>
        <item x="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0" baseField="0" baseItem="0"/>
  </dataFields>
  <chartFormats count="9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9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9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0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0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0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0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0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0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0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1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2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2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2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2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2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2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2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fit" xr10:uid="{D97657ED-7874-4A19-B8C7-6E8487EBECDC}" sourceName="Profit">
  <pivotTables>
    <pivotTable tabId="4" name="PivotTable5"/>
  </pivotTables>
  <data>
    <tabular pivotCacheId="2008523532">
      <items count="30">
        <i x="0" s="1"/>
        <i x="21" s="1"/>
        <i x="27" s="1"/>
        <i x="11" s="1"/>
        <i x="3" s="1"/>
        <i x="10" s="1"/>
        <i x="13" s="1"/>
        <i x="23" s="1"/>
        <i x="15" s="1"/>
        <i x="14" s="1"/>
        <i x="17" s="1"/>
        <i x="5" s="1"/>
        <i x="24" s="1"/>
        <i x="6" s="1"/>
        <i x="9" s="1"/>
        <i x="20" s="1"/>
        <i x="25" s="1"/>
        <i x="1" s="1"/>
        <i x="7" s="1"/>
        <i x="12" s="1"/>
        <i x="22" s="1"/>
        <i x="4" s="1"/>
        <i x="28" s="1"/>
        <i x="18" s="1"/>
        <i x="29" s="1"/>
        <i x="19" s="1"/>
        <i x="2" s="1"/>
        <i x="8" s="1"/>
        <i x="16" s="1"/>
        <i x="2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8FE6C97E-C07B-4B59-B747-25BD975A3078}" sourceName="MONTH">
  <pivotTables>
    <pivotTable tabId="4" name="PivotTable5"/>
  </pivotTables>
  <data>
    <tabular pivotCacheId="2008523532">
      <items count="12">
        <i x="5" s="1"/>
        <i x="10" s="1"/>
        <i x="7" s="1"/>
        <i x="2" s="1"/>
        <i x="9" s="1"/>
        <i x="8" s="1"/>
        <i x="4" s="1"/>
        <i x="1" s="1"/>
        <i x="11" s="1"/>
        <i x="3" s="1"/>
        <i x="0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it" xr10:uid="{1F94D600-D370-4FB4-B6F9-6AA1F21F2168}" cache="Slicer_Profit" caption="Profit" rowHeight="228600"/>
  <slicer name="MONTH" xr10:uid="{5E26D3D2-782C-4A83-9C76-98296CB92BF5}" cache="Slicer_MONTH" caption="MONTH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5F57-6ED1-4FC3-B918-4335544EBE40}">
  <dimension ref="A1:I1"/>
  <sheetViews>
    <sheetView tabSelected="1" topLeftCell="A4" workbookViewId="0">
      <selection activeCell="F2" sqref="F2"/>
    </sheetView>
  </sheetViews>
  <sheetFormatPr defaultRowHeight="15"/>
  <sheetData>
    <row r="1" spans="1:9" ht="31.5">
      <c r="A1" s="26" t="s">
        <v>0</v>
      </c>
      <c r="B1" s="27"/>
      <c r="C1" s="27"/>
      <c r="D1" s="27"/>
      <c r="E1" s="27"/>
      <c r="F1" s="27"/>
      <c r="G1" s="27"/>
      <c r="H1" s="27"/>
      <c r="I1" s="27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K4" sqref="K4"/>
    </sheetView>
  </sheetViews>
  <sheetFormatPr defaultRowHeight="15"/>
  <cols>
    <col min="1" max="1" width="13.7109375" customWidth="1"/>
    <col min="2" max="2" width="14.5703125" customWidth="1"/>
    <col min="3" max="3" width="16.42578125" customWidth="1"/>
    <col min="4" max="4" width="12.140625" customWidth="1"/>
    <col min="5" max="5" width="12.5703125" customWidth="1"/>
    <col min="6" max="6" width="16.42578125" customWidth="1"/>
    <col min="7" max="7" width="14" customWidth="1"/>
    <col min="8" max="8" width="16.5703125" customWidth="1"/>
    <col min="9" max="9" width="11.28515625" customWidth="1"/>
    <col min="10" max="10" width="10.42578125" customWidth="1"/>
  </cols>
  <sheetData>
    <row r="1" spans="1:1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3" t="s">
        <v>10</v>
      </c>
    </row>
    <row r="2" spans="1:11">
      <c r="A2" s="4">
        <v>45608</v>
      </c>
      <c r="B2" s="5" t="s">
        <v>11</v>
      </c>
      <c r="C2" s="6">
        <v>1</v>
      </c>
      <c r="D2" s="6">
        <v>149</v>
      </c>
      <c r="E2" s="6">
        <v>149</v>
      </c>
      <c r="F2" s="6" t="s">
        <v>12</v>
      </c>
      <c r="G2" s="6" t="s">
        <v>13</v>
      </c>
      <c r="H2" s="7" t="s">
        <v>14</v>
      </c>
      <c r="I2" s="8">
        <v>70.03</v>
      </c>
      <c r="J2" t="str" cm="1">
        <f t="array" ref="J2:J31">TEXT(A2:A31,"mmm")</f>
        <v>Nov</v>
      </c>
    </row>
    <row r="3" spans="1:11">
      <c r="A3" s="4">
        <v>45531</v>
      </c>
      <c r="B3" s="9" t="s">
        <v>15</v>
      </c>
      <c r="C3" s="6">
        <v>12</v>
      </c>
      <c r="D3" s="6">
        <v>459</v>
      </c>
      <c r="E3" s="6">
        <v>5508</v>
      </c>
      <c r="F3" s="6" t="s">
        <v>16</v>
      </c>
      <c r="G3" s="6" t="s">
        <v>17</v>
      </c>
      <c r="H3" s="10" t="s">
        <v>18</v>
      </c>
      <c r="I3" s="25">
        <v>1266.8399999999999</v>
      </c>
      <c r="J3" t="str">
        <v>Aug</v>
      </c>
    </row>
    <row r="4" spans="1:11">
      <c r="A4" s="4">
        <v>45389</v>
      </c>
      <c r="B4" s="11" t="s">
        <v>19</v>
      </c>
      <c r="C4" s="6">
        <v>12</v>
      </c>
      <c r="D4" s="6">
        <v>487</v>
      </c>
      <c r="E4" s="6">
        <v>5844</v>
      </c>
      <c r="F4" s="6" t="s">
        <v>20</v>
      </c>
      <c r="G4" s="6" t="s">
        <v>21</v>
      </c>
      <c r="H4" s="12" t="s">
        <v>22</v>
      </c>
      <c r="I4" s="8">
        <v>2629.8</v>
      </c>
      <c r="J4" t="str">
        <v>Apr</v>
      </c>
      <c r="K4" s="21"/>
    </row>
    <row r="5" spans="1:11">
      <c r="A5" s="4">
        <v>45586</v>
      </c>
      <c r="B5" s="24" t="s">
        <v>23</v>
      </c>
      <c r="C5" s="6">
        <v>17</v>
      </c>
      <c r="D5" s="6">
        <v>101</v>
      </c>
      <c r="E5" s="6">
        <v>1717</v>
      </c>
      <c r="F5" s="6" t="s">
        <v>24</v>
      </c>
      <c r="G5" s="6" t="s">
        <v>25</v>
      </c>
      <c r="H5" s="7" t="s">
        <v>14</v>
      </c>
      <c r="I5" s="8">
        <v>360.57</v>
      </c>
      <c r="J5" t="str">
        <v>Oct</v>
      </c>
    </row>
    <row r="6" spans="1:11">
      <c r="A6" s="4">
        <v>45491</v>
      </c>
      <c r="B6" s="5" t="s">
        <v>11</v>
      </c>
      <c r="C6" s="6">
        <v>10</v>
      </c>
      <c r="D6" s="6">
        <v>489</v>
      </c>
      <c r="E6" s="6">
        <v>4890</v>
      </c>
      <c r="F6" s="6" t="s">
        <v>26</v>
      </c>
      <c r="G6" s="6" t="s">
        <v>27</v>
      </c>
      <c r="H6" s="10" t="s">
        <v>18</v>
      </c>
      <c r="I6" s="8">
        <v>1613.7</v>
      </c>
      <c r="J6" t="str">
        <v>Jul</v>
      </c>
    </row>
    <row r="7" spans="1:11">
      <c r="A7" s="4">
        <v>45314</v>
      </c>
      <c r="B7" s="9" t="s">
        <v>15</v>
      </c>
      <c r="C7" s="6">
        <v>16</v>
      </c>
      <c r="D7" s="6">
        <v>153</v>
      </c>
      <c r="E7" s="6">
        <v>2448</v>
      </c>
      <c r="F7" s="6" t="s">
        <v>28</v>
      </c>
      <c r="G7" s="6" t="s">
        <v>29</v>
      </c>
      <c r="H7" s="12" t="s">
        <v>22</v>
      </c>
      <c r="I7" s="8">
        <v>734.4</v>
      </c>
      <c r="J7" t="str">
        <v>Jan</v>
      </c>
    </row>
    <row r="8" spans="1:11">
      <c r="A8" s="4">
        <v>45648</v>
      </c>
      <c r="B8" s="11" t="s">
        <v>19</v>
      </c>
      <c r="C8" s="6">
        <v>15</v>
      </c>
      <c r="D8" s="6">
        <v>205</v>
      </c>
      <c r="E8" s="6">
        <v>3075</v>
      </c>
      <c r="F8" s="6" t="s">
        <v>30</v>
      </c>
      <c r="G8" s="6" t="s">
        <v>31</v>
      </c>
      <c r="H8" s="7" t="s">
        <v>14</v>
      </c>
      <c r="I8" s="8">
        <v>891.75</v>
      </c>
      <c r="J8" t="str">
        <v>Dec</v>
      </c>
    </row>
    <row r="9" spans="1:11">
      <c r="A9" s="4">
        <v>45585</v>
      </c>
      <c r="B9" s="11" t="s">
        <v>19</v>
      </c>
      <c r="C9" s="6">
        <v>15</v>
      </c>
      <c r="D9" s="6">
        <v>359</v>
      </c>
      <c r="E9" s="6">
        <v>5385</v>
      </c>
      <c r="F9" s="6" t="s">
        <v>32</v>
      </c>
      <c r="G9" s="6" t="s">
        <v>33</v>
      </c>
      <c r="H9" s="10" t="s">
        <v>18</v>
      </c>
      <c r="I9" s="8">
        <v>1400.1</v>
      </c>
      <c r="J9" t="str">
        <v>Oct</v>
      </c>
    </row>
    <row r="10" spans="1:11">
      <c r="A10" s="4">
        <v>45362</v>
      </c>
      <c r="B10" s="5" t="s">
        <v>11</v>
      </c>
      <c r="C10" s="6">
        <v>19</v>
      </c>
      <c r="D10" s="6">
        <v>409</v>
      </c>
      <c r="E10" s="6">
        <v>7771</v>
      </c>
      <c r="F10" s="6" t="s">
        <v>34</v>
      </c>
      <c r="G10" s="6" t="s">
        <v>35</v>
      </c>
      <c r="H10" s="7" t="s">
        <v>14</v>
      </c>
      <c r="I10" s="8">
        <v>2797.56</v>
      </c>
      <c r="J10" t="str">
        <v>Mar</v>
      </c>
    </row>
    <row r="11" spans="1:11">
      <c r="A11" s="4">
        <v>45392</v>
      </c>
      <c r="B11" s="13" t="s">
        <v>23</v>
      </c>
      <c r="C11" s="6">
        <v>12</v>
      </c>
      <c r="D11" s="6">
        <v>290</v>
      </c>
      <c r="E11" s="6">
        <v>3480</v>
      </c>
      <c r="F11" s="6" t="s">
        <v>36</v>
      </c>
      <c r="G11" s="6" t="s">
        <v>37</v>
      </c>
      <c r="H11" s="10" t="s">
        <v>18</v>
      </c>
      <c r="I11" s="8">
        <v>904.8</v>
      </c>
      <c r="J11" t="str">
        <v>Apr</v>
      </c>
    </row>
    <row r="12" spans="1:11">
      <c r="A12" s="4">
        <v>45466</v>
      </c>
      <c r="B12" s="5" t="s">
        <v>11</v>
      </c>
      <c r="C12" s="6">
        <v>3</v>
      </c>
      <c r="D12" s="6">
        <v>317</v>
      </c>
      <c r="E12" s="6">
        <v>951</v>
      </c>
      <c r="F12" s="6" t="s">
        <v>38</v>
      </c>
      <c r="G12" s="6" t="s">
        <v>39</v>
      </c>
      <c r="H12" s="12" t="s">
        <v>22</v>
      </c>
      <c r="I12" s="8">
        <v>475.5</v>
      </c>
      <c r="J12" t="str">
        <v>Jun</v>
      </c>
    </row>
    <row r="13" spans="1:11">
      <c r="A13" s="4">
        <v>45435</v>
      </c>
      <c r="B13" s="5" t="s">
        <v>11</v>
      </c>
      <c r="C13" s="6">
        <v>5</v>
      </c>
      <c r="D13" s="6">
        <v>143</v>
      </c>
      <c r="E13" s="6">
        <v>715</v>
      </c>
      <c r="F13" s="6" t="s">
        <v>40</v>
      </c>
      <c r="G13" s="6" t="s">
        <v>41</v>
      </c>
      <c r="H13" s="7" t="s">
        <v>14</v>
      </c>
      <c r="I13" s="8">
        <v>307.45</v>
      </c>
      <c r="J13" t="str">
        <v>May</v>
      </c>
    </row>
    <row r="14" spans="1:11">
      <c r="A14" s="4">
        <v>45460</v>
      </c>
      <c r="B14" s="5" t="s">
        <v>11</v>
      </c>
      <c r="C14" s="6">
        <v>19</v>
      </c>
      <c r="D14" s="6">
        <v>261</v>
      </c>
      <c r="E14" s="6">
        <v>4959</v>
      </c>
      <c r="F14" s="6" t="s">
        <v>42</v>
      </c>
      <c r="G14" s="6" t="s">
        <v>43</v>
      </c>
      <c r="H14" s="10" t="s">
        <v>18</v>
      </c>
      <c r="I14" s="8">
        <v>1438.11</v>
      </c>
      <c r="J14" t="str">
        <v>Jun</v>
      </c>
    </row>
    <row r="15" spans="1:11">
      <c r="A15" s="4">
        <v>45576</v>
      </c>
      <c r="B15" s="5" t="s">
        <v>11</v>
      </c>
      <c r="C15" s="6">
        <v>7</v>
      </c>
      <c r="D15" s="6">
        <v>301</v>
      </c>
      <c r="E15" s="6">
        <v>2107</v>
      </c>
      <c r="F15" s="6" t="s">
        <v>44</v>
      </c>
      <c r="G15" s="6" t="s">
        <v>45</v>
      </c>
      <c r="H15" s="7" t="s">
        <v>14</v>
      </c>
      <c r="I15" s="8">
        <v>484.61</v>
      </c>
      <c r="J15" t="str">
        <v>Oct</v>
      </c>
    </row>
    <row r="16" spans="1:11">
      <c r="A16" s="4">
        <v>45436</v>
      </c>
      <c r="B16" s="9" t="s">
        <v>15</v>
      </c>
      <c r="C16" s="6">
        <v>9</v>
      </c>
      <c r="D16" s="6">
        <v>369</v>
      </c>
      <c r="E16" s="6">
        <v>3321</v>
      </c>
      <c r="F16" s="6" t="s">
        <v>46</v>
      </c>
      <c r="G16" s="6" t="s">
        <v>47</v>
      </c>
      <c r="H16" s="12" t="s">
        <v>22</v>
      </c>
      <c r="I16" s="8">
        <v>664.2</v>
      </c>
      <c r="J16" t="str">
        <v>May</v>
      </c>
    </row>
    <row r="17" spans="1:10">
      <c r="A17" s="4">
        <v>45341</v>
      </c>
      <c r="B17" s="11" t="s">
        <v>19</v>
      </c>
      <c r="C17" s="6">
        <v>7</v>
      </c>
      <c r="D17" s="6">
        <v>450</v>
      </c>
      <c r="E17" s="6">
        <v>3150</v>
      </c>
      <c r="F17" s="6" t="s">
        <v>48</v>
      </c>
      <c r="G17" s="6" t="s">
        <v>49</v>
      </c>
      <c r="H17" s="10" t="s">
        <v>18</v>
      </c>
      <c r="I17" s="8">
        <v>661.5</v>
      </c>
      <c r="J17" t="str">
        <v>Feb</v>
      </c>
    </row>
    <row r="18" spans="1:10">
      <c r="A18" s="4">
        <v>45330</v>
      </c>
      <c r="B18" s="9" t="s">
        <v>15</v>
      </c>
      <c r="C18" s="6">
        <v>18</v>
      </c>
      <c r="D18" s="6">
        <v>403</v>
      </c>
      <c r="E18" s="6">
        <v>7254</v>
      </c>
      <c r="F18" s="6" t="s">
        <v>50</v>
      </c>
      <c r="G18" s="6" t="s">
        <v>31</v>
      </c>
      <c r="H18" s="7" t="s">
        <v>14</v>
      </c>
      <c r="I18" s="8">
        <v>2974.14</v>
      </c>
      <c r="J18" t="str">
        <v>Feb</v>
      </c>
    </row>
    <row r="19" spans="1:10">
      <c r="A19" s="4">
        <v>45540</v>
      </c>
      <c r="B19" s="9" t="s">
        <v>15</v>
      </c>
      <c r="C19" s="6">
        <v>4</v>
      </c>
      <c r="D19" s="6">
        <v>370</v>
      </c>
      <c r="E19" s="6">
        <v>1480</v>
      </c>
      <c r="F19" s="6" t="s">
        <v>51</v>
      </c>
      <c r="G19" s="6" t="s">
        <v>52</v>
      </c>
      <c r="H19" s="12" t="s">
        <v>22</v>
      </c>
      <c r="I19" s="8">
        <v>680.8</v>
      </c>
      <c r="J19" t="str">
        <v>Sep</v>
      </c>
    </row>
    <row r="20" spans="1:10">
      <c r="A20" s="4">
        <v>45615</v>
      </c>
      <c r="B20" s="9" t="s">
        <v>15</v>
      </c>
      <c r="C20" s="6">
        <v>14</v>
      </c>
      <c r="D20" s="6">
        <v>314</v>
      </c>
      <c r="E20" s="6">
        <v>4396</v>
      </c>
      <c r="F20" s="6" t="s">
        <v>53</v>
      </c>
      <c r="G20" s="6" t="s">
        <v>54</v>
      </c>
      <c r="H20" s="10" t="s">
        <v>18</v>
      </c>
      <c r="I20" s="8">
        <v>2198</v>
      </c>
      <c r="J20" t="str">
        <v>Nov</v>
      </c>
    </row>
    <row r="21" spans="1:10">
      <c r="A21" s="4">
        <v>45543</v>
      </c>
      <c r="B21" s="5" t="s">
        <v>11</v>
      </c>
      <c r="C21" s="6">
        <v>18</v>
      </c>
      <c r="D21" s="6">
        <v>351</v>
      </c>
      <c r="E21" s="6">
        <v>6318</v>
      </c>
      <c r="F21" s="6" t="s">
        <v>55</v>
      </c>
      <c r="G21" s="6" t="s">
        <v>56</v>
      </c>
      <c r="H21" s="7" t="s">
        <v>14</v>
      </c>
      <c r="I21" s="8">
        <v>2274.48</v>
      </c>
      <c r="J21" t="str">
        <v>Sep</v>
      </c>
    </row>
    <row r="22" spans="1:10">
      <c r="A22" s="4">
        <v>45315</v>
      </c>
      <c r="B22" s="13" t="s">
        <v>23</v>
      </c>
      <c r="C22" s="6">
        <v>9</v>
      </c>
      <c r="D22" s="6">
        <v>289</v>
      </c>
      <c r="E22" s="6">
        <v>2601</v>
      </c>
      <c r="F22" s="6" t="s">
        <v>57</v>
      </c>
      <c r="G22" s="6" t="s">
        <v>58</v>
      </c>
      <c r="H22" s="12" t="s">
        <v>22</v>
      </c>
      <c r="I22" s="8">
        <v>1092.42</v>
      </c>
      <c r="J22" t="str">
        <v>Jan</v>
      </c>
    </row>
    <row r="23" spans="1:10">
      <c r="A23" s="4">
        <v>45310</v>
      </c>
      <c r="B23" s="11" t="s">
        <v>19</v>
      </c>
      <c r="C23" s="6">
        <v>2</v>
      </c>
      <c r="D23" s="6">
        <v>395</v>
      </c>
      <c r="E23" s="6">
        <v>790</v>
      </c>
      <c r="F23" s="6" t="s">
        <v>59</v>
      </c>
      <c r="G23" s="6" t="s">
        <v>60</v>
      </c>
      <c r="H23" s="10" t="s">
        <v>18</v>
      </c>
      <c r="I23" s="8">
        <v>213.3</v>
      </c>
      <c r="J23" t="str">
        <v>Jan</v>
      </c>
    </row>
    <row r="24" spans="1:10">
      <c r="A24" s="4">
        <v>45629</v>
      </c>
      <c r="B24" s="13" t="s">
        <v>23</v>
      </c>
      <c r="C24" s="6">
        <v>15</v>
      </c>
      <c r="D24" s="6">
        <v>312</v>
      </c>
      <c r="E24" s="6">
        <v>4680</v>
      </c>
      <c r="F24" s="6" t="s">
        <v>61</v>
      </c>
      <c r="G24" s="6" t="s">
        <v>62</v>
      </c>
      <c r="H24" s="7" t="s">
        <v>14</v>
      </c>
      <c r="I24" s="8">
        <v>1450.8</v>
      </c>
      <c r="J24" t="str">
        <v>Dec</v>
      </c>
    </row>
    <row r="25" spans="1:10">
      <c r="A25" s="4">
        <v>45460</v>
      </c>
      <c r="B25" s="9" t="s">
        <v>15</v>
      </c>
      <c r="C25" s="6">
        <v>7</v>
      </c>
      <c r="D25" s="6">
        <v>307</v>
      </c>
      <c r="E25" s="6">
        <v>2149</v>
      </c>
      <c r="F25" s="6" t="s">
        <v>63</v>
      </c>
      <c r="G25" s="6" t="s">
        <v>64</v>
      </c>
      <c r="H25" s="12" t="s">
        <v>22</v>
      </c>
      <c r="I25" s="8">
        <v>515.76</v>
      </c>
      <c r="J25" t="str">
        <v>Jun</v>
      </c>
    </row>
    <row r="26" spans="1:10">
      <c r="A26" s="4">
        <v>45584</v>
      </c>
      <c r="B26" s="9" t="s">
        <v>15</v>
      </c>
      <c r="C26" s="6">
        <v>12</v>
      </c>
      <c r="D26" s="6">
        <v>336</v>
      </c>
      <c r="E26" s="6">
        <v>4032</v>
      </c>
      <c r="F26" s="6" t="s">
        <v>65</v>
      </c>
      <c r="G26" s="6" t="s">
        <v>66</v>
      </c>
      <c r="H26" s="10" t="s">
        <v>18</v>
      </c>
      <c r="I26" s="8">
        <v>806.4</v>
      </c>
      <c r="J26" t="str">
        <v>Oct</v>
      </c>
    </row>
    <row r="27" spans="1:10">
      <c r="A27" s="4">
        <v>45612</v>
      </c>
      <c r="B27" s="13" t="s">
        <v>23</v>
      </c>
      <c r="C27" s="6">
        <v>8</v>
      </c>
      <c r="D27" s="6">
        <v>437</v>
      </c>
      <c r="E27" s="6">
        <v>3496</v>
      </c>
      <c r="F27" s="6" t="s">
        <v>67</v>
      </c>
      <c r="G27" s="6" t="s">
        <v>68</v>
      </c>
      <c r="H27" s="7" t="s">
        <v>14</v>
      </c>
      <c r="I27" s="8">
        <v>1258.56</v>
      </c>
      <c r="J27" t="str">
        <v>Nov</v>
      </c>
    </row>
    <row r="28" spans="1:10">
      <c r="A28" s="4">
        <v>45423</v>
      </c>
      <c r="B28" s="9" t="s">
        <v>15</v>
      </c>
      <c r="C28" s="6">
        <v>15</v>
      </c>
      <c r="D28" s="6">
        <v>466</v>
      </c>
      <c r="E28" s="6">
        <v>6990</v>
      </c>
      <c r="F28" s="6" t="s">
        <v>69</v>
      </c>
      <c r="G28" s="6" t="s">
        <v>70</v>
      </c>
      <c r="H28" s="12" t="s">
        <v>22</v>
      </c>
      <c r="I28" s="8">
        <v>3495</v>
      </c>
      <c r="J28" t="str">
        <v>May</v>
      </c>
    </row>
    <row r="29" spans="1:10">
      <c r="A29" s="4">
        <v>45366</v>
      </c>
      <c r="B29" s="13" t="s">
        <v>23</v>
      </c>
      <c r="C29" s="6">
        <v>3</v>
      </c>
      <c r="D29" s="6">
        <v>152</v>
      </c>
      <c r="E29" s="6">
        <v>456</v>
      </c>
      <c r="F29" s="6" t="s">
        <v>71</v>
      </c>
      <c r="G29" s="6" t="s">
        <v>72</v>
      </c>
      <c r="H29" s="10" t="s">
        <v>18</v>
      </c>
      <c r="I29" s="8">
        <v>218.88</v>
      </c>
      <c r="J29" t="str">
        <v>Mar</v>
      </c>
    </row>
    <row r="30" spans="1:10">
      <c r="A30" s="4">
        <v>45509</v>
      </c>
      <c r="B30" s="13" t="s">
        <v>23</v>
      </c>
      <c r="C30" s="6">
        <v>14</v>
      </c>
      <c r="D30" s="6">
        <v>379</v>
      </c>
      <c r="E30" s="6">
        <v>5306</v>
      </c>
      <c r="F30" s="6" t="s">
        <v>73</v>
      </c>
      <c r="G30" s="6" t="s">
        <v>74</v>
      </c>
      <c r="H30" s="12" t="s">
        <v>22</v>
      </c>
      <c r="I30" s="8">
        <v>2069.34</v>
      </c>
      <c r="J30" t="str">
        <v>Aug</v>
      </c>
    </row>
    <row r="31" spans="1:10">
      <c r="A31" s="14">
        <v>45560</v>
      </c>
      <c r="B31" s="15" t="s">
        <v>15</v>
      </c>
      <c r="C31" s="16">
        <v>17</v>
      </c>
      <c r="D31" s="16">
        <v>316</v>
      </c>
      <c r="E31" s="16">
        <v>5372</v>
      </c>
      <c r="F31" s="16" t="s">
        <v>75</v>
      </c>
      <c r="G31" s="16" t="s">
        <v>33</v>
      </c>
      <c r="H31" s="17" t="s">
        <v>18</v>
      </c>
      <c r="I31" s="18">
        <v>2202.52</v>
      </c>
      <c r="J31" t="str">
        <v>Sep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1754-8BB3-4058-A4B0-9C0B230C8C31}">
  <dimension ref="A1:I152"/>
  <sheetViews>
    <sheetView workbookViewId="0">
      <selection activeCell="J4" sqref="J4"/>
    </sheetView>
  </sheetViews>
  <sheetFormatPr defaultRowHeight="15"/>
  <cols>
    <col min="1" max="1" width="16.42578125" bestFit="1" customWidth="1"/>
    <col min="2" max="3" width="14.7109375" bestFit="1" customWidth="1"/>
    <col min="4" max="4" width="20.140625" bestFit="1" customWidth="1"/>
    <col min="6" max="6" width="20.42578125" bestFit="1" customWidth="1"/>
    <col min="7" max="7" width="17" bestFit="1" customWidth="1"/>
    <col min="8" max="8" width="17.140625" bestFit="1" customWidth="1"/>
    <col min="9" max="9" width="12.5703125" bestFit="1" customWidth="1"/>
  </cols>
  <sheetData>
    <row r="1" spans="1:9">
      <c r="A1" s="19" t="s">
        <v>1</v>
      </c>
      <c r="B1" s="19" t="s">
        <v>2</v>
      </c>
      <c r="C1" s="19" t="s">
        <v>7</v>
      </c>
      <c r="D1" s="19" t="s">
        <v>8</v>
      </c>
      <c r="E1" s="19" t="s">
        <v>6</v>
      </c>
      <c r="F1" s="19" t="s">
        <v>76</v>
      </c>
      <c r="G1" t="s">
        <v>77</v>
      </c>
      <c r="H1" t="s">
        <v>78</v>
      </c>
      <c r="I1" t="s">
        <v>79</v>
      </c>
    </row>
    <row r="2" spans="1:9">
      <c r="A2" s="20">
        <v>45310</v>
      </c>
      <c r="B2" t="s">
        <v>19</v>
      </c>
      <c r="C2" t="s">
        <v>60</v>
      </c>
      <c r="D2" t="s">
        <v>18</v>
      </c>
      <c r="E2" t="s">
        <v>59</v>
      </c>
      <c r="F2" s="21">
        <v>2</v>
      </c>
      <c r="G2" s="21">
        <v>395</v>
      </c>
      <c r="H2" s="21">
        <v>790</v>
      </c>
      <c r="I2" s="21">
        <v>213.3</v>
      </c>
    </row>
    <row r="3" spans="1:9">
      <c r="D3" t="s">
        <v>80</v>
      </c>
      <c r="F3" s="21">
        <v>2</v>
      </c>
      <c r="G3" s="21">
        <v>395</v>
      </c>
      <c r="H3" s="21">
        <v>790</v>
      </c>
      <c r="I3" s="21">
        <v>213.3</v>
      </c>
    </row>
    <row r="4" spans="1:9">
      <c r="C4" t="s">
        <v>81</v>
      </c>
      <c r="F4" s="21">
        <v>2</v>
      </c>
      <c r="G4" s="21">
        <v>395</v>
      </c>
      <c r="H4" s="21">
        <v>790</v>
      </c>
      <c r="I4" s="21">
        <v>213.3</v>
      </c>
    </row>
    <row r="5" spans="1:9">
      <c r="B5" t="s">
        <v>82</v>
      </c>
      <c r="F5" s="21">
        <v>2</v>
      </c>
      <c r="G5" s="21">
        <v>395</v>
      </c>
      <c r="H5" s="21">
        <v>790</v>
      </c>
      <c r="I5" s="21">
        <v>213.3</v>
      </c>
    </row>
    <row r="6" spans="1:9">
      <c r="A6" t="s">
        <v>83</v>
      </c>
      <c r="F6" s="21">
        <v>2</v>
      </c>
      <c r="G6" s="21">
        <v>395</v>
      </c>
      <c r="H6" s="21">
        <v>790</v>
      </c>
      <c r="I6" s="21">
        <v>213.3</v>
      </c>
    </row>
    <row r="7" spans="1:9">
      <c r="A7" s="20">
        <v>45314</v>
      </c>
      <c r="B7" t="s">
        <v>15</v>
      </c>
      <c r="C7" t="s">
        <v>29</v>
      </c>
      <c r="D7" t="s">
        <v>22</v>
      </c>
      <c r="E7" t="s">
        <v>28</v>
      </c>
      <c r="F7" s="21">
        <v>16</v>
      </c>
      <c r="G7" s="21">
        <v>153</v>
      </c>
      <c r="H7" s="21">
        <v>2448</v>
      </c>
      <c r="I7" s="21">
        <v>734.4</v>
      </c>
    </row>
    <row r="8" spans="1:9">
      <c r="D8" t="s">
        <v>84</v>
      </c>
      <c r="F8" s="21">
        <v>16</v>
      </c>
      <c r="G8" s="21">
        <v>153</v>
      </c>
      <c r="H8" s="21">
        <v>2448</v>
      </c>
      <c r="I8" s="21">
        <v>734.4</v>
      </c>
    </row>
    <row r="9" spans="1:9">
      <c r="C9" t="s">
        <v>85</v>
      </c>
      <c r="F9" s="21">
        <v>16</v>
      </c>
      <c r="G9" s="21">
        <v>153</v>
      </c>
      <c r="H9" s="21">
        <v>2448</v>
      </c>
      <c r="I9" s="21">
        <v>734.4</v>
      </c>
    </row>
    <row r="10" spans="1:9">
      <c r="B10" t="s">
        <v>86</v>
      </c>
      <c r="F10" s="21">
        <v>16</v>
      </c>
      <c r="G10" s="21">
        <v>153</v>
      </c>
      <c r="H10" s="21">
        <v>2448</v>
      </c>
      <c r="I10" s="21">
        <v>734.4</v>
      </c>
    </row>
    <row r="11" spans="1:9">
      <c r="A11" t="s">
        <v>87</v>
      </c>
      <c r="F11" s="21">
        <v>16</v>
      </c>
      <c r="G11" s="21">
        <v>153</v>
      </c>
      <c r="H11" s="21">
        <v>2448</v>
      </c>
      <c r="I11" s="21">
        <v>734.4</v>
      </c>
    </row>
    <row r="12" spans="1:9">
      <c r="A12" s="20">
        <v>45315</v>
      </c>
      <c r="F12" s="21">
        <v>9</v>
      </c>
      <c r="G12" s="21">
        <v>289</v>
      </c>
      <c r="H12" s="21">
        <v>2601</v>
      </c>
      <c r="I12" s="21">
        <v>1092.42</v>
      </c>
    </row>
    <row r="13" spans="1:9">
      <c r="A13" s="20">
        <v>45330</v>
      </c>
      <c r="B13" t="s">
        <v>15</v>
      </c>
      <c r="C13" t="s">
        <v>31</v>
      </c>
      <c r="D13" t="s">
        <v>14</v>
      </c>
      <c r="E13" t="s">
        <v>50</v>
      </c>
      <c r="F13" s="21">
        <v>18</v>
      </c>
      <c r="G13" s="21">
        <v>403</v>
      </c>
      <c r="H13" s="21">
        <v>7254</v>
      </c>
      <c r="I13" s="21">
        <v>2974.14</v>
      </c>
    </row>
    <row r="14" spans="1:9">
      <c r="D14" t="s">
        <v>88</v>
      </c>
      <c r="F14" s="21">
        <v>18</v>
      </c>
      <c r="G14" s="21">
        <v>403</v>
      </c>
      <c r="H14" s="21">
        <v>7254</v>
      </c>
      <c r="I14" s="21">
        <v>2974.14</v>
      </c>
    </row>
    <row r="15" spans="1:9">
      <c r="C15" t="s">
        <v>89</v>
      </c>
      <c r="F15" s="21">
        <v>18</v>
      </c>
      <c r="G15" s="21">
        <v>403</v>
      </c>
      <c r="H15" s="21">
        <v>7254</v>
      </c>
      <c r="I15" s="21">
        <v>2974.14</v>
      </c>
    </row>
    <row r="16" spans="1:9">
      <c r="B16" t="s">
        <v>86</v>
      </c>
      <c r="F16" s="21">
        <v>18</v>
      </c>
      <c r="G16" s="21">
        <v>403</v>
      </c>
      <c r="H16" s="21">
        <v>7254</v>
      </c>
      <c r="I16" s="21">
        <v>2974.14</v>
      </c>
    </row>
    <row r="17" spans="1:9">
      <c r="A17" t="s">
        <v>90</v>
      </c>
      <c r="F17" s="21">
        <v>18</v>
      </c>
      <c r="G17" s="21">
        <v>403</v>
      </c>
      <c r="H17" s="21">
        <v>7254</v>
      </c>
      <c r="I17" s="21">
        <v>2974.14</v>
      </c>
    </row>
    <row r="18" spans="1:9">
      <c r="A18" s="20">
        <v>45341</v>
      </c>
      <c r="B18" t="s">
        <v>19</v>
      </c>
      <c r="C18" t="s">
        <v>49</v>
      </c>
      <c r="D18" t="s">
        <v>18</v>
      </c>
      <c r="E18" t="s">
        <v>48</v>
      </c>
      <c r="F18" s="21">
        <v>7</v>
      </c>
      <c r="G18" s="21">
        <v>450</v>
      </c>
      <c r="H18" s="21">
        <v>3150</v>
      </c>
      <c r="I18" s="21">
        <v>661.5</v>
      </c>
    </row>
    <row r="19" spans="1:9">
      <c r="D19" t="s">
        <v>80</v>
      </c>
      <c r="F19" s="21">
        <v>7</v>
      </c>
      <c r="G19" s="21">
        <v>450</v>
      </c>
      <c r="H19" s="21">
        <v>3150</v>
      </c>
      <c r="I19" s="21">
        <v>661.5</v>
      </c>
    </row>
    <row r="20" spans="1:9">
      <c r="C20" t="s">
        <v>91</v>
      </c>
      <c r="F20" s="21">
        <v>7</v>
      </c>
      <c r="G20" s="21">
        <v>450</v>
      </c>
      <c r="H20" s="21">
        <v>3150</v>
      </c>
      <c r="I20" s="21">
        <v>661.5</v>
      </c>
    </row>
    <row r="21" spans="1:9">
      <c r="B21" t="s">
        <v>82</v>
      </c>
      <c r="F21" s="21">
        <v>7</v>
      </c>
      <c r="G21" s="21">
        <v>450</v>
      </c>
      <c r="H21" s="21">
        <v>3150</v>
      </c>
      <c r="I21" s="21">
        <v>661.5</v>
      </c>
    </row>
    <row r="22" spans="1:9">
      <c r="A22" t="s">
        <v>92</v>
      </c>
      <c r="F22" s="21">
        <v>7</v>
      </c>
      <c r="G22" s="21">
        <v>450</v>
      </c>
      <c r="H22" s="21">
        <v>3150</v>
      </c>
      <c r="I22" s="21">
        <v>661.5</v>
      </c>
    </row>
    <row r="23" spans="1:9">
      <c r="A23" s="20">
        <v>45362</v>
      </c>
      <c r="B23" t="s">
        <v>11</v>
      </c>
      <c r="C23" t="s">
        <v>35</v>
      </c>
      <c r="D23" t="s">
        <v>14</v>
      </c>
      <c r="E23" t="s">
        <v>34</v>
      </c>
      <c r="F23" s="21">
        <v>19</v>
      </c>
      <c r="G23" s="21">
        <v>409</v>
      </c>
      <c r="H23" s="21">
        <v>7771</v>
      </c>
      <c r="I23" s="21">
        <v>2797.56</v>
      </c>
    </row>
    <row r="24" spans="1:9">
      <c r="D24" t="s">
        <v>88</v>
      </c>
      <c r="F24" s="21">
        <v>19</v>
      </c>
      <c r="G24" s="21">
        <v>409</v>
      </c>
      <c r="H24" s="21">
        <v>7771</v>
      </c>
      <c r="I24" s="21">
        <v>2797.56</v>
      </c>
    </row>
    <row r="25" spans="1:9">
      <c r="C25" t="s">
        <v>93</v>
      </c>
      <c r="F25" s="21">
        <v>19</v>
      </c>
      <c r="G25" s="21">
        <v>409</v>
      </c>
      <c r="H25" s="21">
        <v>7771</v>
      </c>
      <c r="I25" s="21">
        <v>2797.56</v>
      </c>
    </row>
    <row r="26" spans="1:9">
      <c r="B26" t="s">
        <v>94</v>
      </c>
      <c r="F26" s="21">
        <v>19</v>
      </c>
      <c r="G26" s="21">
        <v>409</v>
      </c>
      <c r="H26" s="21">
        <v>7771</v>
      </c>
      <c r="I26" s="21">
        <v>2797.56</v>
      </c>
    </row>
    <row r="27" spans="1:9">
      <c r="A27" t="s">
        <v>95</v>
      </c>
      <c r="F27" s="21">
        <v>19</v>
      </c>
      <c r="G27" s="21">
        <v>409</v>
      </c>
      <c r="H27" s="21">
        <v>7771</v>
      </c>
      <c r="I27" s="21">
        <v>2797.56</v>
      </c>
    </row>
    <row r="28" spans="1:9">
      <c r="A28" s="20">
        <v>45366</v>
      </c>
      <c r="B28" t="s">
        <v>23</v>
      </c>
      <c r="C28" t="s">
        <v>72</v>
      </c>
      <c r="D28" t="s">
        <v>18</v>
      </c>
      <c r="E28" t="s">
        <v>71</v>
      </c>
      <c r="F28" s="21">
        <v>3</v>
      </c>
      <c r="G28" s="21">
        <v>152</v>
      </c>
      <c r="H28" s="21">
        <v>456</v>
      </c>
      <c r="I28" s="21">
        <v>218.88</v>
      </c>
    </row>
    <row r="29" spans="1:9">
      <c r="D29" t="s">
        <v>80</v>
      </c>
      <c r="F29" s="21">
        <v>3</v>
      </c>
      <c r="G29" s="21">
        <v>152</v>
      </c>
      <c r="H29" s="21">
        <v>456</v>
      </c>
      <c r="I29" s="21">
        <v>218.88</v>
      </c>
    </row>
    <row r="30" spans="1:9">
      <c r="C30" t="s">
        <v>96</v>
      </c>
      <c r="F30" s="21">
        <v>3</v>
      </c>
      <c r="G30" s="21">
        <v>152</v>
      </c>
      <c r="H30" s="21">
        <v>456</v>
      </c>
      <c r="I30" s="21">
        <v>218.88</v>
      </c>
    </row>
    <row r="31" spans="1:9">
      <c r="B31" t="s">
        <v>97</v>
      </c>
      <c r="F31" s="21">
        <v>3</v>
      </c>
      <c r="G31" s="21">
        <v>152</v>
      </c>
      <c r="H31" s="21">
        <v>456</v>
      </c>
      <c r="I31" s="21">
        <v>218.88</v>
      </c>
    </row>
    <row r="32" spans="1:9">
      <c r="A32" t="s">
        <v>98</v>
      </c>
      <c r="F32" s="21">
        <v>3</v>
      </c>
      <c r="G32" s="21">
        <v>152</v>
      </c>
      <c r="H32" s="21">
        <v>456</v>
      </c>
      <c r="I32" s="21">
        <v>218.88</v>
      </c>
    </row>
    <row r="33" spans="1:9">
      <c r="A33" s="20">
        <v>45389</v>
      </c>
      <c r="B33" t="s">
        <v>19</v>
      </c>
      <c r="C33" t="s">
        <v>21</v>
      </c>
      <c r="D33" t="s">
        <v>22</v>
      </c>
      <c r="E33" t="s">
        <v>20</v>
      </c>
      <c r="F33" s="21">
        <v>12</v>
      </c>
      <c r="G33" s="21">
        <v>487</v>
      </c>
      <c r="H33" s="21">
        <v>5844</v>
      </c>
      <c r="I33" s="21">
        <v>2629.8</v>
      </c>
    </row>
    <row r="34" spans="1:9">
      <c r="D34" t="s">
        <v>84</v>
      </c>
      <c r="F34" s="21">
        <v>12</v>
      </c>
      <c r="G34" s="21">
        <v>487</v>
      </c>
      <c r="H34" s="21">
        <v>5844</v>
      </c>
      <c r="I34" s="21">
        <v>2629.8</v>
      </c>
    </row>
    <row r="35" spans="1:9">
      <c r="C35" t="s">
        <v>99</v>
      </c>
      <c r="F35" s="21">
        <v>12</v>
      </c>
      <c r="G35" s="21">
        <v>487</v>
      </c>
      <c r="H35" s="21">
        <v>5844</v>
      </c>
      <c r="I35" s="21">
        <v>2629.8</v>
      </c>
    </row>
    <row r="36" spans="1:9">
      <c r="B36" t="s">
        <v>82</v>
      </c>
      <c r="F36" s="21">
        <v>12</v>
      </c>
      <c r="G36" s="21">
        <v>487</v>
      </c>
      <c r="H36" s="21">
        <v>5844</v>
      </c>
      <c r="I36" s="21">
        <v>2629.8</v>
      </c>
    </row>
    <row r="37" spans="1:9">
      <c r="A37" t="s">
        <v>100</v>
      </c>
      <c r="F37" s="21">
        <v>12</v>
      </c>
      <c r="G37" s="21">
        <v>487</v>
      </c>
      <c r="H37" s="21">
        <v>5844</v>
      </c>
      <c r="I37" s="21">
        <v>2629.8</v>
      </c>
    </row>
    <row r="38" spans="1:9">
      <c r="A38" s="20">
        <v>45392</v>
      </c>
      <c r="B38" t="s">
        <v>23</v>
      </c>
      <c r="C38" t="s">
        <v>37</v>
      </c>
      <c r="D38" t="s">
        <v>18</v>
      </c>
      <c r="E38" t="s">
        <v>36</v>
      </c>
      <c r="F38" s="21">
        <v>12</v>
      </c>
      <c r="G38" s="21">
        <v>290</v>
      </c>
      <c r="H38" s="21">
        <v>3480</v>
      </c>
      <c r="I38" s="21">
        <v>904.8</v>
      </c>
    </row>
    <row r="39" spans="1:9">
      <c r="D39" t="s">
        <v>80</v>
      </c>
      <c r="F39" s="21">
        <v>12</v>
      </c>
      <c r="G39" s="21">
        <v>290</v>
      </c>
      <c r="H39" s="21">
        <v>3480</v>
      </c>
      <c r="I39" s="21">
        <v>904.8</v>
      </c>
    </row>
    <row r="40" spans="1:9">
      <c r="C40" t="s">
        <v>101</v>
      </c>
      <c r="F40" s="21">
        <v>12</v>
      </c>
      <c r="G40" s="21">
        <v>290</v>
      </c>
      <c r="H40" s="21">
        <v>3480</v>
      </c>
      <c r="I40" s="21">
        <v>904.8</v>
      </c>
    </row>
    <row r="41" spans="1:9">
      <c r="B41" t="s">
        <v>97</v>
      </c>
      <c r="F41" s="21">
        <v>12</v>
      </c>
      <c r="G41" s="21">
        <v>290</v>
      </c>
      <c r="H41" s="21">
        <v>3480</v>
      </c>
      <c r="I41" s="21">
        <v>904.8</v>
      </c>
    </row>
    <row r="42" spans="1:9">
      <c r="A42" t="s">
        <v>102</v>
      </c>
      <c r="F42" s="21">
        <v>12</v>
      </c>
      <c r="G42" s="21">
        <v>290</v>
      </c>
      <c r="H42" s="21">
        <v>3480</v>
      </c>
      <c r="I42" s="21">
        <v>904.8</v>
      </c>
    </row>
    <row r="43" spans="1:9">
      <c r="A43" s="20">
        <v>45423</v>
      </c>
      <c r="B43" t="s">
        <v>15</v>
      </c>
      <c r="C43" t="s">
        <v>70</v>
      </c>
      <c r="D43" t="s">
        <v>22</v>
      </c>
      <c r="E43" t="s">
        <v>69</v>
      </c>
      <c r="F43" s="21">
        <v>15</v>
      </c>
      <c r="G43" s="21">
        <v>466</v>
      </c>
      <c r="H43" s="21">
        <v>6990</v>
      </c>
      <c r="I43" s="21">
        <v>3495</v>
      </c>
    </row>
    <row r="44" spans="1:9">
      <c r="D44" t="s">
        <v>84</v>
      </c>
      <c r="F44" s="21">
        <v>15</v>
      </c>
      <c r="G44" s="21">
        <v>466</v>
      </c>
      <c r="H44" s="21">
        <v>6990</v>
      </c>
      <c r="I44" s="21">
        <v>3495</v>
      </c>
    </row>
    <row r="45" spans="1:9">
      <c r="C45" t="s">
        <v>103</v>
      </c>
      <c r="F45" s="21">
        <v>15</v>
      </c>
      <c r="G45" s="21">
        <v>466</v>
      </c>
      <c r="H45" s="21">
        <v>6990</v>
      </c>
      <c r="I45" s="21">
        <v>3495</v>
      </c>
    </row>
    <row r="46" spans="1:9">
      <c r="B46" t="s">
        <v>86</v>
      </c>
      <c r="F46" s="21">
        <v>15</v>
      </c>
      <c r="G46" s="21">
        <v>466</v>
      </c>
      <c r="H46" s="21">
        <v>6990</v>
      </c>
      <c r="I46" s="21">
        <v>3495</v>
      </c>
    </row>
    <row r="47" spans="1:9">
      <c r="A47" t="s">
        <v>104</v>
      </c>
      <c r="F47" s="21">
        <v>15</v>
      </c>
      <c r="G47" s="21">
        <v>466</v>
      </c>
      <c r="H47" s="21">
        <v>6990</v>
      </c>
      <c r="I47" s="21">
        <v>3495</v>
      </c>
    </row>
    <row r="48" spans="1:9">
      <c r="A48" s="20">
        <v>45435</v>
      </c>
      <c r="B48" t="s">
        <v>11</v>
      </c>
      <c r="C48" t="s">
        <v>41</v>
      </c>
      <c r="D48" t="s">
        <v>14</v>
      </c>
      <c r="E48" t="s">
        <v>40</v>
      </c>
      <c r="F48" s="21">
        <v>5</v>
      </c>
      <c r="G48" s="21">
        <v>143</v>
      </c>
      <c r="H48" s="21">
        <v>715</v>
      </c>
      <c r="I48" s="21">
        <v>307.45</v>
      </c>
    </row>
    <row r="49" spans="1:9">
      <c r="D49" t="s">
        <v>88</v>
      </c>
      <c r="F49" s="21">
        <v>5</v>
      </c>
      <c r="G49" s="21">
        <v>143</v>
      </c>
      <c r="H49" s="21">
        <v>715</v>
      </c>
      <c r="I49" s="21">
        <v>307.45</v>
      </c>
    </row>
    <row r="50" spans="1:9">
      <c r="C50" t="s">
        <v>105</v>
      </c>
      <c r="F50" s="21">
        <v>5</v>
      </c>
      <c r="G50" s="21">
        <v>143</v>
      </c>
      <c r="H50" s="21">
        <v>715</v>
      </c>
      <c r="I50" s="21">
        <v>307.45</v>
      </c>
    </row>
    <row r="51" spans="1:9">
      <c r="B51" t="s">
        <v>94</v>
      </c>
      <c r="F51" s="21">
        <v>5</v>
      </c>
      <c r="G51" s="21">
        <v>143</v>
      </c>
      <c r="H51" s="21">
        <v>715</v>
      </c>
      <c r="I51" s="21">
        <v>307.45</v>
      </c>
    </row>
    <row r="52" spans="1:9">
      <c r="A52" t="s">
        <v>106</v>
      </c>
      <c r="F52" s="21">
        <v>5</v>
      </c>
      <c r="G52" s="21">
        <v>143</v>
      </c>
      <c r="H52" s="21">
        <v>715</v>
      </c>
      <c r="I52" s="21">
        <v>307.45</v>
      </c>
    </row>
    <row r="53" spans="1:9">
      <c r="A53" s="20">
        <v>45436</v>
      </c>
      <c r="B53" t="s">
        <v>15</v>
      </c>
      <c r="C53" t="s">
        <v>47</v>
      </c>
      <c r="D53" t="s">
        <v>22</v>
      </c>
      <c r="E53" t="s">
        <v>46</v>
      </c>
      <c r="F53" s="21">
        <v>9</v>
      </c>
      <c r="G53" s="21">
        <v>369</v>
      </c>
      <c r="H53" s="21">
        <v>3321</v>
      </c>
      <c r="I53" s="21">
        <v>664.2</v>
      </c>
    </row>
    <row r="54" spans="1:9">
      <c r="D54" t="s">
        <v>84</v>
      </c>
      <c r="F54" s="21">
        <v>9</v>
      </c>
      <c r="G54" s="21">
        <v>369</v>
      </c>
      <c r="H54" s="21">
        <v>3321</v>
      </c>
      <c r="I54" s="21">
        <v>664.2</v>
      </c>
    </row>
    <row r="55" spans="1:9">
      <c r="C55" t="s">
        <v>107</v>
      </c>
      <c r="F55" s="21">
        <v>9</v>
      </c>
      <c r="G55" s="21">
        <v>369</v>
      </c>
      <c r="H55" s="21">
        <v>3321</v>
      </c>
      <c r="I55" s="21">
        <v>664.2</v>
      </c>
    </row>
    <row r="56" spans="1:9">
      <c r="B56" t="s">
        <v>86</v>
      </c>
      <c r="F56" s="21">
        <v>9</v>
      </c>
      <c r="G56" s="21">
        <v>369</v>
      </c>
      <c r="H56" s="21">
        <v>3321</v>
      </c>
      <c r="I56" s="21">
        <v>664.2</v>
      </c>
    </row>
    <row r="57" spans="1:9">
      <c r="A57" t="s">
        <v>108</v>
      </c>
      <c r="F57" s="21">
        <v>9</v>
      </c>
      <c r="G57" s="21">
        <v>369</v>
      </c>
      <c r="H57" s="21">
        <v>3321</v>
      </c>
      <c r="I57" s="21">
        <v>664.2</v>
      </c>
    </row>
    <row r="58" spans="1:9">
      <c r="A58" s="20">
        <v>45460</v>
      </c>
      <c r="B58" t="s">
        <v>11</v>
      </c>
      <c r="C58" t="s">
        <v>43</v>
      </c>
      <c r="D58" t="s">
        <v>18</v>
      </c>
      <c r="E58" t="s">
        <v>42</v>
      </c>
      <c r="F58" s="21">
        <v>19</v>
      </c>
      <c r="G58" s="21">
        <v>261</v>
      </c>
      <c r="H58" s="21">
        <v>4959</v>
      </c>
      <c r="I58" s="21">
        <v>1438.11</v>
      </c>
    </row>
    <row r="59" spans="1:9">
      <c r="D59" t="s">
        <v>80</v>
      </c>
      <c r="F59" s="21">
        <v>19</v>
      </c>
      <c r="G59" s="21">
        <v>261</v>
      </c>
      <c r="H59" s="21">
        <v>4959</v>
      </c>
      <c r="I59" s="21">
        <v>1438.11</v>
      </c>
    </row>
    <row r="60" spans="1:9">
      <c r="C60" t="s">
        <v>109</v>
      </c>
      <c r="F60" s="21">
        <v>19</v>
      </c>
      <c r="G60" s="21">
        <v>261</v>
      </c>
      <c r="H60" s="21">
        <v>4959</v>
      </c>
      <c r="I60" s="21">
        <v>1438.11</v>
      </c>
    </row>
    <row r="61" spans="1:9">
      <c r="B61" t="s">
        <v>94</v>
      </c>
      <c r="F61" s="21">
        <v>19</v>
      </c>
      <c r="G61" s="21">
        <v>261</v>
      </c>
      <c r="H61" s="21">
        <v>4959</v>
      </c>
      <c r="I61" s="21">
        <v>1438.11</v>
      </c>
    </row>
    <row r="62" spans="1:9">
      <c r="B62" t="s">
        <v>15</v>
      </c>
      <c r="C62" t="s">
        <v>64</v>
      </c>
      <c r="D62" t="s">
        <v>22</v>
      </c>
      <c r="E62" t="s">
        <v>63</v>
      </c>
      <c r="F62" s="21">
        <v>7</v>
      </c>
      <c r="G62" s="21">
        <v>307</v>
      </c>
      <c r="H62" s="21">
        <v>2149</v>
      </c>
      <c r="I62" s="21">
        <v>515.76</v>
      </c>
    </row>
    <row r="63" spans="1:9">
      <c r="D63" t="s">
        <v>84</v>
      </c>
      <c r="F63" s="21">
        <v>7</v>
      </c>
      <c r="G63" s="21">
        <v>307</v>
      </c>
      <c r="H63" s="21">
        <v>2149</v>
      </c>
      <c r="I63" s="21">
        <v>515.76</v>
      </c>
    </row>
    <row r="64" spans="1:9">
      <c r="C64" t="s">
        <v>110</v>
      </c>
      <c r="F64" s="21">
        <v>7</v>
      </c>
      <c r="G64" s="21">
        <v>307</v>
      </c>
      <c r="H64" s="21">
        <v>2149</v>
      </c>
      <c r="I64" s="21">
        <v>515.76</v>
      </c>
    </row>
    <row r="65" spans="1:9">
      <c r="B65" t="s">
        <v>86</v>
      </c>
      <c r="F65" s="21">
        <v>7</v>
      </c>
      <c r="G65" s="21">
        <v>307</v>
      </c>
      <c r="H65" s="21">
        <v>2149</v>
      </c>
      <c r="I65" s="21">
        <v>515.76</v>
      </c>
    </row>
    <row r="66" spans="1:9">
      <c r="A66" t="s">
        <v>111</v>
      </c>
      <c r="F66" s="21">
        <v>26</v>
      </c>
      <c r="G66" s="21">
        <v>568</v>
      </c>
      <c r="H66" s="21">
        <v>7108</v>
      </c>
      <c r="I66" s="21">
        <v>1953.87</v>
      </c>
    </row>
    <row r="67" spans="1:9">
      <c r="A67" s="20">
        <v>45466</v>
      </c>
      <c r="B67" t="s">
        <v>11</v>
      </c>
      <c r="C67" t="s">
        <v>39</v>
      </c>
      <c r="D67" t="s">
        <v>22</v>
      </c>
      <c r="E67" t="s">
        <v>38</v>
      </c>
      <c r="F67" s="21">
        <v>3</v>
      </c>
      <c r="G67" s="21">
        <v>317</v>
      </c>
      <c r="H67" s="21">
        <v>951</v>
      </c>
      <c r="I67" s="21">
        <v>475.5</v>
      </c>
    </row>
    <row r="68" spans="1:9">
      <c r="D68" t="s">
        <v>84</v>
      </c>
      <c r="F68" s="21">
        <v>3</v>
      </c>
      <c r="G68" s="21">
        <v>317</v>
      </c>
      <c r="H68" s="21">
        <v>951</v>
      </c>
      <c r="I68" s="21">
        <v>475.5</v>
      </c>
    </row>
    <row r="69" spans="1:9">
      <c r="C69" t="s">
        <v>112</v>
      </c>
      <c r="F69" s="21">
        <v>3</v>
      </c>
      <c r="G69" s="21">
        <v>317</v>
      </c>
      <c r="H69" s="21">
        <v>951</v>
      </c>
      <c r="I69" s="21">
        <v>475.5</v>
      </c>
    </row>
    <row r="70" spans="1:9">
      <c r="B70" t="s">
        <v>94</v>
      </c>
      <c r="F70" s="21">
        <v>3</v>
      </c>
      <c r="G70" s="21">
        <v>317</v>
      </c>
      <c r="H70" s="21">
        <v>951</v>
      </c>
      <c r="I70" s="21">
        <v>475.5</v>
      </c>
    </row>
    <row r="71" spans="1:9">
      <c r="A71" t="s">
        <v>113</v>
      </c>
      <c r="F71" s="21">
        <v>3</v>
      </c>
      <c r="G71" s="21">
        <v>317</v>
      </c>
      <c r="H71" s="21">
        <v>951</v>
      </c>
      <c r="I71" s="21">
        <v>475.5</v>
      </c>
    </row>
    <row r="72" spans="1:9">
      <c r="A72" s="20">
        <v>45491</v>
      </c>
      <c r="B72" t="s">
        <v>11</v>
      </c>
      <c r="C72" t="s">
        <v>27</v>
      </c>
      <c r="D72" t="s">
        <v>18</v>
      </c>
      <c r="E72" t="s">
        <v>26</v>
      </c>
      <c r="F72" s="21">
        <v>10</v>
      </c>
      <c r="G72" s="21">
        <v>489</v>
      </c>
      <c r="H72" s="21">
        <v>4890</v>
      </c>
      <c r="I72" s="21">
        <v>1613.7</v>
      </c>
    </row>
    <row r="73" spans="1:9">
      <c r="D73" t="s">
        <v>80</v>
      </c>
      <c r="F73" s="21">
        <v>10</v>
      </c>
      <c r="G73" s="21">
        <v>489</v>
      </c>
      <c r="H73" s="21">
        <v>4890</v>
      </c>
      <c r="I73" s="21">
        <v>1613.7</v>
      </c>
    </row>
    <row r="74" spans="1:9">
      <c r="C74" t="s">
        <v>114</v>
      </c>
      <c r="F74" s="21">
        <v>10</v>
      </c>
      <c r="G74" s="21">
        <v>489</v>
      </c>
      <c r="H74" s="21">
        <v>4890</v>
      </c>
      <c r="I74" s="21">
        <v>1613.7</v>
      </c>
    </row>
    <row r="75" spans="1:9">
      <c r="B75" t="s">
        <v>94</v>
      </c>
      <c r="F75" s="21">
        <v>10</v>
      </c>
      <c r="G75" s="21">
        <v>489</v>
      </c>
      <c r="H75" s="21">
        <v>4890</v>
      </c>
      <c r="I75" s="21">
        <v>1613.7</v>
      </c>
    </row>
    <row r="76" spans="1:9">
      <c r="A76" t="s">
        <v>115</v>
      </c>
      <c r="F76" s="21">
        <v>10</v>
      </c>
      <c r="G76" s="21">
        <v>489</v>
      </c>
      <c r="H76" s="21">
        <v>4890</v>
      </c>
      <c r="I76" s="21">
        <v>1613.7</v>
      </c>
    </row>
    <row r="77" spans="1:9">
      <c r="A77" s="20">
        <v>45509</v>
      </c>
      <c r="B77" t="s">
        <v>23</v>
      </c>
      <c r="C77" t="s">
        <v>74</v>
      </c>
      <c r="D77" t="s">
        <v>22</v>
      </c>
      <c r="E77" t="s">
        <v>73</v>
      </c>
      <c r="F77" s="21">
        <v>14</v>
      </c>
      <c r="G77" s="21">
        <v>379</v>
      </c>
      <c r="H77" s="21">
        <v>5306</v>
      </c>
      <c r="I77" s="21">
        <v>2069.34</v>
      </c>
    </row>
    <row r="78" spans="1:9">
      <c r="D78" t="s">
        <v>84</v>
      </c>
      <c r="F78" s="21">
        <v>14</v>
      </c>
      <c r="G78" s="21">
        <v>379</v>
      </c>
      <c r="H78" s="21">
        <v>5306</v>
      </c>
      <c r="I78" s="21">
        <v>2069.34</v>
      </c>
    </row>
    <row r="79" spans="1:9">
      <c r="C79" t="s">
        <v>116</v>
      </c>
      <c r="F79" s="21">
        <v>14</v>
      </c>
      <c r="G79" s="21">
        <v>379</v>
      </c>
      <c r="H79" s="21">
        <v>5306</v>
      </c>
      <c r="I79" s="21">
        <v>2069.34</v>
      </c>
    </row>
    <row r="80" spans="1:9">
      <c r="B80" t="s">
        <v>97</v>
      </c>
      <c r="F80" s="21">
        <v>14</v>
      </c>
      <c r="G80" s="21">
        <v>379</v>
      </c>
      <c r="H80" s="21">
        <v>5306</v>
      </c>
      <c r="I80" s="21">
        <v>2069.34</v>
      </c>
    </row>
    <row r="81" spans="1:9">
      <c r="A81" t="s">
        <v>117</v>
      </c>
      <c r="F81" s="21">
        <v>14</v>
      </c>
      <c r="G81" s="21">
        <v>379</v>
      </c>
      <c r="H81" s="21">
        <v>5306</v>
      </c>
      <c r="I81" s="21">
        <v>2069.34</v>
      </c>
    </row>
    <row r="82" spans="1:9">
      <c r="A82" s="20">
        <v>45531</v>
      </c>
      <c r="B82" t="s">
        <v>15</v>
      </c>
      <c r="C82" t="s">
        <v>17</v>
      </c>
      <c r="D82" t="s">
        <v>18</v>
      </c>
      <c r="E82" t="s">
        <v>16</v>
      </c>
      <c r="F82" s="21">
        <v>12</v>
      </c>
      <c r="G82" s="21">
        <v>459</v>
      </c>
      <c r="H82" s="21">
        <v>5508</v>
      </c>
      <c r="I82" s="21">
        <v>1266.8399999999999</v>
      </c>
    </row>
    <row r="83" spans="1:9">
      <c r="D83" t="s">
        <v>80</v>
      </c>
      <c r="F83" s="21">
        <v>12</v>
      </c>
      <c r="G83" s="21">
        <v>459</v>
      </c>
      <c r="H83" s="21">
        <v>5508</v>
      </c>
      <c r="I83" s="21">
        <v>1266.8399999999999</v>
      </c>
    </row>
    <row r="84" spans="1:9">
      <c r="C84" t="s">
        <v>118</v>
      </c>
      <c r="F84" s="21">
        <v>12</v>
      </c>
      <c r="G84" s="21">
        <v>459</v>
      </c>
      <c r="H84" s="21">
        <v>5508</v>
      </c>
      <c r="I84" s="21">
        <v>1266.8399999999999</v>
      </c>
    </row>
    <row r="85" spans="1:9">
      <c r="B85" t="s">
        <v>86</v>
      </c>
      <c r="F85" s="21">
        <v>12</v>
      </c>
      <c r="G85" s="21">
        <v>459</v>
      </c>
      <c r="H85" s="21">
        <v>5508</v>
      </c>
      <c r="I85" s="21">
        <v>1266.8399999999999</v>
      </c>
    </row>
    <row r="86" spans="1:9">
      <c r="A86" t="s">
        <v>119</v>
      </c>
      <c r="F86" s="21">
        <v>12</v>
      </c>
      <c r="G86" s="21">
        <v>459</v>
      </c>
      <c r="H86" s="21">
        <v>5508</v>
      </c>
      <c r="I86" s="21">
        <v>1266.8399999999999</v>
      </c>
    </row>
    <row r="87" spans="1:9">
      <c r="A87" s="20">
        <v>45540</v>
      </c>
      <c r="B87" t="s">
        <v>15</v>
      </c>
      <c r="C87" t="s">
        <v>52</v>
      </c>
      <c r="D87" t="s">
        <v>22</v>
      </c>
      <c r="E87" t="s">
        <v>51</v>
      </c>
      <c r="F87" s="21">
        <v>4</v>
      </c>
      <c r="G87" s="21">
        <v>370</v>
      </c>
      <c r="H87" s="21">
        <v>1480</v>
      </c>
      <c r="I87" s="21">
        <v>680.8</v>
      </c>
    </row>
    <row r="88" spans="1:9">
      <c r="D88" t="s">
        <v>84</v>
      </c>
      <c r="F88" s="21">
        <v>4</v>
      </c>
      <c r="G88" s="21">
        <v>370</v>
      </c>
      <c r="H88" s="21">
        <v>1480</v>
      </c>
      <c r="I88" s="21">
        <v>680.8</v>
      </c>
    </row>
    <row r="89" spans="1:9">
      <c r="C89" t="s">
        <v>120</v>
      </c>
      <c r="F89" s="21">
        <v>4</v>
      </c>
      <c r="G89" s="21">
        <v>370</v>
      </c>
      <c r="H89" s="21">
        <v>1480</v>
      </c>
      <c r="I89" s="21">
        <v>680.8</v>
      </c>
    </row>
    <row r="90" spans="1:9">
      <c r="B90" t="s">
        <v>86</v>
      </c>
      <c r="F90" s="21">
        <v>4</v>
      </c>
      <c r="G90" s="21">
        <v>370</v>
      </c>
      <c r="H90" s="21">
        <v>1480</v>
      </c>
      <c r="I90" s="21">
        <v>680.8</v>
      </c>
    </row>
    <row r="91" spans="1:9">
      <c r="A91" t="s">
        <v>121</v>
      </c>
      <c r="F91" s="21">
        <v>4</v>
      </c>
      <c r="G91" s="21">
        <v>370</v>
      </c>
      <c r="H91" s="21">
        <v>1480</v>
      </c>
      <c r="I91" s="21">
        <v>680.8</v>
      </c>
    </row>
    <row r="92" spans="1:9">
      <c r="A92" s="20">
        <v>45543</v>
      </c>
      <c r="B92" t="s">
        <v>11</v>
      </c>
      <c r="C92" t="s">
        <v>56</v>
      </c>
      <c r="D92" t="s">
        <v>14</v>
      </c>
      <c r="E92" t="s">
        <v>55</v>
      </c>
      <c r="F92" s="21">
        <v>18</v>
      </c>
      <c r="G92" s="21">
        <v>351</v>
      </c>
      <c r="H92" s="21">
        <v>6318</v>
      </c>
      <c r="I92" s="21">
        <v>2274.48</v>
      </c>
    </row>
    <row r="93" spans="1:9">
      <c r="D93" t="s">
        <v>88</v>
      </c>
      <c r="F93" s="21">
        <v>18</v>
      </c>
      <c r="G93" s="21">
        <v>351</v>
      </c>
      <c r="H93" s="21">
        <v>6318</v>
      </c>
      <c r="I93" s="21">
        <v>2274.48</v>
      </c>
    </row>
    <row r="94" spans="1:9">
      <c r="C94" t="s">
        <v>122</v>
      </c>
      <c r="F94" s="21">
        <v>18</v>
      </c>
      <c r="G94" s="21">
        <v>351</v>
      </c>
      <c r="H94" s="21">
        <v>6318</v>
      </c>
      <c r="I94" s="21">
        <v>2274.48</v>
      </c>
    </row>
    <row r="95" spans="1:9">
      <c r="B95" t="s">
        <v>94</v>
      </c>
      <c r="F95" s="21">
        <v>18</v>
      </c>
      <c r="G95" s="21">
        <v>351</v>
      </c>
      <c r="H95" s="21">
        <v>6318</v>
      </c>
      <c r="I95" s="21">
        <v>2274.48</v>
      </c>
    </row>
    <row r="96" spans="1:9">
      <c r="A96" t="s">
        <v>123</v>
      </c>
      <c r="F96" s="21">
        <v>18</v>
      </c>
      <c r="G96" s="21">
        <v>351</v>
      </c>
      <c r="H96" s="21">
        <v>6318</v>
      </c>
      <c r="I96" s="21">
        <v>2274.48</v>
      </c>
    </row>
    <row r="97" spans="1:9">
      <c r="A97" s="20">
        <v>45560</v>
      </c>
      <c r="B97" t="s">
        <v>15</v>
      </c>
      <c r="C97" t="s">
        <v>33</v>
      </c>
      <c r="D97" t="s">
        <v>18</v>
      </c>
      <c r="E97" t="s">
        <v>75</v>
      </c>
      <c r="F97" s="21">
        <v>17</v>
      </c>
      <c r="G97" s="21">
        <v>316</v>
      </c>
      <c r="H97" s="21">
        <v>5372</v>
      </c>
      <c r="I97" s="21">
        <v>2202.52</v>
      </c>
    </row>
    <row r="98" spans="1:9">
      <c r="D98" t="s">
        <v>80</v>
      </c>
      <c r="F98" s="21">
        <v>17</v>
      </c>
      <c r="G98" s="21">
        <v>316</v>
      </c>
      <c r="H98" s="21">
        <v>5372</v>
      </c>
      <c r="I98" s="21">
        <v>2202.52</v>
      </c>
    </row>
    <row r="99" spans="1:9">
      <c r="C99" t="s">
        <v>124</v>
      </c>
      <c r="F99" s="21">
        <v>17</v>
      </c>
      <c r="G99" s="21">
        <v>316</v>
      </c>
      <c r="H99" s="21">
        <v>5372</v>
      </c>
      <c r="I99" s="21">
        <v>2202.52</v>
      </c>
    </row>
    <row r="100" spans="1:9">
      <c r="B100" t="s">
        <v>86</v>
      </c>
      <c r="F100" s="21">
        <v>17</v>
      </c>
      <c r="G100" s="21">
        <v>316</v>
      </c>
      <c r="H100" s="21">
        <v>5372</v>
      </c>
      <c r="I100" s="21">
        <v>2202.52</v>
      </c>
    </row>
    <row r="101" spans="1:9">
      <c r="A101" t="s">
        <v>125</v>
      </c>
      <c r="F101" s="21">
        <v>17</v>
      </c>
      <c r="G101" s="21">
        <v>316</v>
      </c>
      <c r="H101" s="21">
        <v>5372</v>
      </c>
      <c r="I101" s="21">
        <v>2202.52</v>
      </c>
    </row>
    <row r="102" spans="1:9">
      <c r="A102" s="20">
        <v>45576</v>
      </c>
      <c r="B102" t="s">
        <v>11</v>
      </c>
      <c r="C102" t="s">
        <v>45</v>
      </c>
      <c r="D102" t="s">
        <v>14</v>
      </c>
      <c r="E102" t="s">
        <v>44</v>
      </c>
      <c r="F102" s="21">
        <v>7</v>
      </c>
      <c r="G102" s="21">
        <v>301</v>
      </c>
      <c r="H102" s="21">
        <v>2107</v>
      </c>
      <c r="I102" s="21">
        <v>484.61</v>
      </c>
    </row>
    <row r="103" spans="1:9">
      <c r="D103" t="s">
        <v>88</v>
      </c>
      <c r="F103" s="21">
        <v>7</v>
      </c>
      <c r="G103" s="21">
        <v>301</v>
      </c>
      <c r="H103" s="21">
        <v>2107</v>
      </c>
      <c r="I103" s="21">
        <v>484.61</v>
      </c>
    </row>
    <row r="104" spans="1:9">
      <c r="C104" t="s">
        <v>126</v>
      </c>
      <c r="F104" s="21">
        <v>7</v>
      </c>
      <c r="G104" s="21">
        <v>301</v>
      </c>
      <c r="H104" s="21">
        <v>2107</v>
      </c>
      <c r="I104" s="21">
        <v>484.61</v>
      </c>
    </row>
    <row r="105" spans="1:9">
      <c r="B105" t="s">
        <v>94</v>
      </c>
      <c r="F105" s="21">
        <v>7</v>
      </c>
      <c r="G105" s="21">
        <v>301</v>
      </c>
      <c r="H105" s="21">
        <v>2107</v>
      </c>
      <c r="I105" s="21">
        <v>484.61</v>
      </c>
    </row>
    <row r="106" spans="1:9">
      <c r="A106" t="s">
        <v>127</v>
      </c>
      <c r="F106" s="21">
        <v>7</v>
      </c>
      <c r="G106" s="21">
        <v>301</v>
      </c>
      <c r="H106" s="21">
        <v>2107</v>
      </c>
      <c r="I106" s="21">
        <v>484.61</v>
      </c>
    </row>
    <row r="107" spans="1:9">
      <c r="A107" s="20">
        <v>45584</v>
      </c>
      <c r="B107" t="s">
        <v>15</v>
      </c>
      <c r="C107" t="s">
        <v>66</v>
      </c>
      <c r="D107" t="s">
        <v>18</v>
      </c>
      <c r="E107" t="s">
        <v>65</v>
      </c>
      <c r="F107" s="21">
        <v>12</v>
      </c>
      <c r="G107" s="21">
        <v>336</v>
      </c>
      <c r="H107" s="21">
        <v>4032</v>
      </c>
      <c r="I107" s="21">
        <v>806.4</v>
      </c>
    </row>
    <row r="108" spans="1:9">
      <c r="D108" t="s">
        <v>80</v>
      </c>
      <c r="F108" s="21">
        <v>12</v>
      </c>
      <c r="G108" s="21">
        <v>336</v>
      </c>
      <c r="H108" s="21">
        <v>4032</v>
      </c>
      <c r="I108" s="21">
        <v>806.4</v>
      </c>
    </row>
    <row r="109" spans="1:9">
      <c r="C109" t="s">
        <v>128</v>
      </c>
      <c r="F109" s="21">
        <v>12</v>
      </c>
      <c r="G109" s="21">
        <v>336</v>
      </c>
      <c r="H109" s="21">
        <v>4032</v>
      </c>
      <c r="I109" s="21">
        <v>806.4</v>
      </c>
    </row>
    <row r="110" spans="1:9">
      <c r="B110" t="s">
        <v>86</v>
      </c>
      <c r="F110" s="21">
        <v>12</v>
      </c>
      <c r="G110" s="21">
        <v>336</v>
      </c>
      <c r="H110" s="21">
        <v>4032</v>
      </c>
      <c r="I110" s="21">
        <v>806.4</v>
      </c>
    </row>
    <row r="111" spans="1:9">
      <c r="A111" t="s">
        <v>129</v>
      </c>
      <c r="F111" s="21">
        <v>12</v>
      </c>
      <c r="G111" s="21">
        <v>336</v>
      </c>
      <c r="H111" s="21">
        <v>4032</v>
      </c>
      <c r="I111" s="21">
        <v>806.4</v>
      </c>
    </row>
    <row r="112" spans="1:9">
      <c r="A112" s="20">
        <v>45585</v>
      </c>
      <c r="B112" t="s">
        <v>19</v>
      </c>
      <c r="C112" t="s">
        <v>33</v>
      </c>
      <c r="D112" t="s">
        <v>18</v>
      </c>
      <c r="E112" t="s">
        <v>32</v>
      </c>
      <c r="F112" s="21">
        <v>15</v>
      </c>
      <c r="G112" s="21">
        <v>359</v>
      </c>
      <c r="H112" s="21">
        <v>5385</v>
      </c>
      <c r="I112" s="21">
        <v>1400.1</v>
      </c>
    </row>
    <row r="113" spans="1:9">
      <c r="D113" t="s">
        <v>80</v>
      </c>
      <c r="F113" s="21">
        <v>15</v>
      </c>
      <c r="G113" s="21">
        <v>359</v>
      </c>
      <c r="H113" s="21">
        <v>5385</v>
      </c>
      <c r="I113" s="21">
        <v>1400.1</v>
      </c>
    </row>
    <row r="114" spans="1:9">
      <c r="C114" t="s">
        <v>124</v>
      </c>
      <c r="F114" s="21">
        <v>15</v>
      </c>
      <c r="G114" s="21">
        <v>359</v>
      </c>
      <c r="H114" s="21">
        <v>5385</v>
      </c>
      <c r="I114" s="21">
        <v>1400.1</v>
      </c>
    </row>
    <row r="115" spans="1:9">
      <c r="B115" t="s">
        <v>82</v>
      </c>
      <c r="F115" s="21">
        <v>15</v>
      </c>
      <c r="G115" s="21">
        <v>359</v>
      </c>
      <c r="H115" s="21">
        <v>5385</v>
      </c>
      <c r="I115" s="21">
        <v>1400.1</v>
      </c>
    </row>
    <row r="116" spans="1:9">
      <c r="A116" t="s">
        <v>130</v>
      </c>
      <c r="F116" s="21">
        <v>15</v>
      </c>
      <c r="G116" s="21">
        <v>359</v>
      </c>
      <c r="H116" s="21">
        <v>5385</v>
      </c>
      <c r="I116" s="21">
        <v>1400.1</v>
      </c>
    </row>
    <row r="117" spans="1:9">
      <c r="A117" s="20">
        <v>45586</v>
      </c>
      <c r="B117" t="s">
        <v>11</v>
      </c>
      <c r="C117" t="s">
        <v>25</v>
      </c>
      <c r="D117" t="s">
        <v>14</v>
      </c>
      <c r="E117" t="s">
        <v>24</v>
      </c>
      <c r="F117" s="21">
        <v>17</v>
      </c>
      <c r="G117" s="21">
        <v>101</v>
      </c>
      <c r="H117" s="21">
        <v>1717</v>
      </c>
      <c r="I117" s="21">
        <v>360.57</v>
      </c>
    </row>
    <row r="118" spans="1:9">
      <c r="D118" t="s">
        <v>88</v>
      </c>
      <c r="F118" s="21">
        <v>17</v>
      </c>
      <c r="G118" s="21">
        <v>101</v>
      </c>
      <c r="H118" s="21">
        <v>1717</v>
      </c>
      <c r="I118" s="21">
        <v>360.57</v>
      </c>
    </row>
    <row r="119" spans="1:9">
      <c r="C119" t="s">
        <v>131</v>
      </c>
      <c r="F119" s="21">
        <v>17</v>
      </c>
      <c r="G119" s="21">
        <v>101</v>
      </c>
      <c r="H119" s="21">
        <v>1717</v>
      </c>
      <c r="I119" s="21">
        <v>360.57</v>
      </c>
    </row>
    <row r="120" spans="1:9">
      <c r="B120" t="s">
        <v>94</v>
      </c>
      <c r="F120" s="21">
        <v>17</v>
      </c>
      <c r="G120" s="21">
        <v>101</v>
      </c>
      <c r="H120" s="21">
        <v>1717</v>
      </c>
      <c r="I120" s="21">
        <v>360.57</v>
      </c>
    </row>
    <row r="121" spans="1:9">
      <c r="A121" t="s">
        <v>132</v>
      </c>
      <c r="F121" s="21">
        <v>17</v>
      </c>
      <c r="G121" s="21">
        <v>101</v>
      </c>
      <c r="H121" s="21">
        <v>1717</v>
      </c>
      <c r="I121" s="21">
        <v>360.57</v>
      </c>
    </row>
    <row r="122" spans="1:9">
      <c r="A122" s="20">
        <v>45608</v>
      </c>
      <c r="B122" t="s">
        <v>11</v>
      </c>
      <c r="C122" t="s">
        <v>13</v>
      </c>
      <c r="D122" t="s">
        <v>14</v>
      </c>
      <c r="E122" t="s">
        <v>12</v>
      </c>
      <c r="F122" s="21">
        <v>1</v>
      </c>
      <c r="G122" s="21">
        <v>149</v>
      </c>
      <c r="H122" s="21">
        <v>149</v>
      </c>
      <c r="I122" s="21">
        <v>70.03</v>
      </c>
    </row>
    <row r="123" spans="1:9">
      <c r="D123" t="s">
        <v>88</v>
      </c>
      <c r="F123" s="21">
        <v>1</v>
      </c>
      <c r="G123" s="21">
        <v>149</v>
      </c>
      <c r="H123" s="21">
        <v>149</v>
      </c>
      <c r="I123" s="21">
        <v>70.03</v>
      </c>
    </row>
    <row r="124" spans="1:9">
      <c r="C124" t="s">
        <v>133</v>
      </c>
      <c r="F124" s="21">
        <v>1</v>
      </c>
      <c r="G124" s="21">
        <v>149</v>
      </c>
      <c r="H124" s="21">
        <v>149</v>
      </c>
      <c r="I124" s="21">
        <v>70.03</v>
      </c>
    </row>
    <row r="125" spans="1:9">
      <c r="B125" t="s">
        <v>94</v>
      </c>
      <c r="F125" s="21">
        <v>1</v>
      </c>
      <c r="G125" s="21">
        <v>149</v>
      </c>
      <c r="H125" s="21">
        <v>149</v>
      </c>
      <c r="I125" s="21">
        <v>70.03</v>
      </c>
    </row>
    <row r="126" spans="1:9">
      <c r="A126" t="s">
        <v>134</v>
      </c>
      <c r="F126" s="21">
        <v>1</v>
      </c>
      <c r="G126" s="21">
        <v>149</v>
      </c>
      <c r="H126" s="21">
        <v>149</v>
      </c>
      <c r="I126" s="21">
        <v>70.03</v>
      </c>
    </row>
    <row r="127" spans="1:9">
      <c r="A127" s="20">
        <v>45612</v>
      </c>
      <c r="B127" t="s">
        <v>23</v>
      </c>
      <c r="C127" t="s">
        <v>68</v>
      </c>
      <c r="D127" t="s">
        <v>14</v>
      </c>
      <c r="E127" t="s">
        <v>67</v>
      </c>
      <c r="F127" s="21">
        <v>8</v>
      </c>
      <c r="G127" s="21">
        <v>437</v>
      </c>
      <c r="H127" s="21">
        <v>3496</v>
      </c>
      <c r="I127" s="21">
        <v>1258.56</v>
      </c>
    </row>
    <row r="128" spans="1:9">
      <c r="D128" t="s">
        <v>88</v>
      </c>
      <c r="F128" s="21">
        <v>8</v>
      </c>
      <c r="G128" s="21">
        <v>437</v>
      </c>
      <c r="H128" s="21">
        <v>3496</v>
      </c>
      <c r="I128" s="21">
        <v>1258.56</v>
      </c>
    </row>
    <row r="129" spans="1:9">
      <c r="C129" t="s">
        <v>135</v>
      </c>
      <c r="F129" s="21">
        <v>8</v>
      </c>
      <c r="G129" s="21">
        <v>437</v>
      </c>
      <c r="H129" s="21">
        <v>3496</v>
      </c>
      <c r="I129" s="21">
        <v>1258.56</v>
      </c>
    </row>
    <row r="130" spans="1:9">
      <c r="B130" t="s">
        <v>97</v>
      </c>
      <c r="F130" s="21">
        <v>8</v>
      </c>
      <c r="G130" s="21">
        <v>437</v>
      </c>
      <c r="H130" s="21">
        <v>3496</v>
      </c>
      <c r="I130" s="21">
        <v>1258.56</v>
      </c>
    </row>
    <row r="131" spans="1:9">
      <c r="A131" t="s">
        <v>136</v>
      </c>
      <c r="F131" s="21">
        <v>8</v>
      </c>
      <c r="G131" s="21">
        <v>437</v>
      </c>
      <c r="H131" s="21">
        <v>3496</v>
      </c>
      <c r="I131" s="21">
        <v>1258.56</v>
      </c>
    </row>
    <row r="132" spans="1:9">
      <c r="A132" s="20">
        <v>45615</v>
      </c>
      <c r="B132" t="s">
        <v>15</v>
      </c>
      <c r="C132" t="s">
        <v>54</v>
      </c>
      <c r="D132" t="s">
        <v>18</v>
      </c>
      <c r="E132" t="s">
        <v>53</v>
      </c>
      <c r="F132" s="21">
        <v>14</v>
      </c>
      <c r="G132" s="21">
        <v>314</v>
      </c>
      <c r="H132" s="21">
        <v>4396</v>
      </c>
      <c r="I132" s="21">
        <v>2198</v>
      </c>
    </row>
    <row r="133" spans="1:9">
      <c r="D133" t="s">
        <v>80</v>
      </c>
      <c r="F133" s="21">
        <v>14</v>
      </c>
      <c r="G133" s="21">
        <v>314</v>
      </c>
      <c r="H133" s="21">
        <v>4396</v>
      </c>
      <c r="I133" s="21">
        <v>2198</v>
      </c>
    </row>
    <row r="134" spans="1:9">
      <c r="C134" t="s">
        <v>137</v>
      </c>
      <c r="F134" s="21">
        <v>14</v>
      </c>
      <c r="G134" s="21">
        <v>314</v>
      </c>
      <c r="H134" s="21">
        <v>4396</v>
      </c>
      <c r="I134" s="21">
        <v>2198</v>
      </c>
    </row>
    <row r="135" spans="1:9">
      <c r="B135" t="s">
        <v>86</v>
      </c>
      <c r="F135" s="21">
        <v>14</v>
      </c>
      <c r="G135" s="21">
        <v>314</v>
      </c>
      <c r="H135" s="21">
        <v>4396</v>
      </c>
      <c r="I135" s="21">
        <v>2198</v>
      </c>
    </row>
    <row r="136" spans="1:9">
      <c r="A136" t="s">
        <v>138</v>
      </c>
      <c r="F136" s="21">
        <v>14</v>
      </c>
      <c r="G136" s="21">
        <v>314</v>
      </c>
      <c r="H136" s="21">
        <v>4396</v>
      </c>
      <c r="I136" s="21">
        <v>2198</v>
      </c>
    </row>
    <row r="137" spans="1:9">
      <c r="A137" s="20">
        <v>45629</v>
      </c>
      <c r="B137" t="s">
        <v>23</v>
      </c>
      <c r="C137" t="s">
        <v>62</v>
      </c>
      <c r="D137" t="s">
        <v>14</v>
      </c>
      <c r="E137" t="s">
        <v>61</v>
      </c>
      <c r="F137" s="21">
        <v>15</v>
      </c>
      <c r="G137" s="21">
        <v>312</v>
      </c>
      <c r="H137" s="21">
        <v>4680</v>
      </c>
      <c r="I137" s="21">
        <v>1450.8</v>
      </c>
    </row>
    <row r="138" spans="1:9">
      <c r="D138" t="s">
        <v>88</v>
      </c>
      <c r="F138" s="21">
        <v>15</v>
      </c>
      <c r="G138" s="21">
        <v>312</v>
      </c>
      <c r="H138" s="21">
        <v>4680</v>
      </c>
      <c r="I138" s="21">
        <v>1450.8</v>
      </c>
    </row>
    <row r="139" spans="1:9">
      <c r="C139" t="s">
        <v>139</v>
      </c>
      <c r="F139" s="21">
        <v>15</v>
      </c>
      <c r="G139" s="21">
        <v>312</v>
      </c>
      <c r="H139" s="21">
        <v>4680</v>
      </c>
      <c r="I139" s="21">
        <v>1450.8</v>
      </c>
    </row>
    <row r="140" spans="1:9">
      <c r="B140" t="s">
        <v>97</v>
      </c>
      <c r="F140" s="21">
        <v>15</v>
      </c>
      <c r="G140" s="21">
        <v>312</v>
      </c>
      <c r="H140" s="21">
        <v>4680</v>
      </c>
      <c r="I140" s="21">
        <v>1450.8</v>
      </c>
    </row>
    <row r="141" spans="1:9">
      <c r="A141" t="s">
        <v>140</v>
      </c>
      <c r="F141" s="21">
        <v>15</v>
      </c>
      <c r="G141" s="21">
        <v>312</v>
      </c>
      <c r="H141" s="21">
        <v>4680</v>
      </c>
      <c r="I141" s="21">
        <v>1450.8</v>
      </c>
    </row>
    <row r="142" spans="1:9">
      <c r="A142" s="20">
        <v>45648</v>
      </c>
      <c r="B142" t="s">
        <v>19</v>
      </c>
      <c r="C142" t="s">
        <v>31</v>
      </c>
      <c r="D142" t="s">
        <v>14</v>
      </c>
      <c r="E142" t="s">
        <v>30</v>
      </c>
      <c r="F142" s="21">
        <v>15</v>
      </c>
      <c r="G142" s="21">
        <v>205</v>
      </c>
      <c r="H142" s="21">
        <v>3075</v>
      </c>
      <c r="I142" s="21">
        <v>891.75</v>
      </c>
    </row>
    <row r="143" spans="1:9">
      <c r="D143" t="s">
        <v>88</v>
      </c>
      <c r="F143" s="21">
        <v>15</v>
      </c>
      <c r="G143" s="21">
        <v>205</v>
      </c>
      <c r="H143" s="21">
        <v>3075</v>
      </c>
      <c r="I143" s="21">
        <v>891.75</v>
      </c>
    </row>
    <row r="144" spans="1:9">
      <c r="C144" t="s">
        <v>89</v>
      </c>
      <c r="F144" s="21">
        <v>15</v>
      </c>
      <c r="G144" s="21">
        <v>205</v>
      </c>
      <c r="H144" s="21">
        <v>3075</v>
      </c>
      <c r="I144" s="21">
        <v>891.75</v>
      </c>
    </row>
    <row r="145" spans="1:9">
      <c r="B145" t="s">
        <v>82</v>
      </c>
      <c r="F145" s="21">
        <v>15</v>
      </c>
      <c r="G145" s="21">
        <v>205</v>
      </c>
      <c r="H145" s="21">
        <v>3075</v>
      </c>
      <c r="I145" s="21">
        <v>891.75</v>
      </c>
    </row>
    <row r="146" spans="1:9">
      <c r="A146" t="s">
        <v>141</v>
      </c>
      <c r="F146" s="21">
        <v>15</v>
      </c>
      <c r="G146" s="21">
        <v>205</v>
      </c>
      <c r="H146" s="21">
        <v>3075</v>
      </c>
      <c r="I146" s="21">
        <v>891.75</v>
      </c>
    </row>
    <row r="147" spans="1:9">
      <c r="A147" t="s">
        <v>142</v>
      </c>
      <c r="B147" t="s">
        <v>142</v>
      </c>
      <c r="C147" t="s">
        <v>142</v>
      </c>
      <c r="D147" t="s">
        <v>142</v>
      </c>
      <c r="E147" t="s">
        <v>142</v>
      </c>
      <c r="F147" s="21"/>
      <c r="G147" s="21"/>
      <c r="H147" s="21"/>
      <c r="I147" s="21"/>
    </row>
    <row r="148" spans="1:9">
      <c r="D148" t="s">
        <v>143</v>
      </c>
      <c r="F148" s="21"/>
      <c r="G148" s="21"/>
      <c r="H148" s="21"/>
      <c r="I148" s="21"/>
    </row>
    <row r="149" spans="1:9">
      <c r="C149" t="s">
        <v>143</v>
      </c>
      <c r="F149" s="21"/>
      <c r="G149" s="21"/>
      <c r="H149" s="21"/>
      <c r="I149" s="21"/>
    </row>
    <row r="150" spans="1:9">
      <c r="B150" t="s">
        <v>143</v>
      </c>
      <c r="F150" s="21"/>
      <c r="G150" s="21"/>
      <c r="H150" s="21"/>
      <c r="I150" s="21"/>
    </row>
    <row r="151" spans="1:9">
      <c r="A151" t="s">
        <v>143</v>
      </c>
      <c r="F151" s="21"/>
      <c r="G151" s="21"/>
      <c r="H151" s="21"/>
      <c r="I151" s="21"/>
    </row>
    <row r="152" spans="1:9">
      <c r="A152" t="s">
        <v>144</v>
      </c>
      <c r="F152" s="21">
        <v>335</v>
      </c>
      <c r="G152" s="21">
        <v>9769</v>
      </c>
      <c r="H152" s="21">
        <v>110790</v>
      </c>
      <c r="I152" s="21">
        <v>38151.32</v>
      </c>
    </row>
  </sheetData>
  <conditionalFormatting sqref="I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{7C5C2A48-3645-4E89-8C81-996E1B664AD2}</x14:id>
        </ext>
      </extLst>
    </cfRule>
  </conditionalFormatting>
  <conditionalFormatting sqref="H1:H14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{F11C5AF0-7B85-475A-8F15-2B31AB5EEE95}</x14:id>
        </ext>
      </extLst>
    </cfRule>
  </conditionalFormatting>
  <conditionalFormatting sqref="G1:G14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I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4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5C2A48-3645-4E89-8C81-996E1B664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F11C5AF0-7B85-475A-8F15-2B31AB5EEE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FE56-3C15-4CB8-A708-1EF19DD28A95}">
  <dimension ref="A1:J265"/>
  <sheetViews>
    <sheetView topLeftCell="A211" workbookViewId="0">
      <selection activeCell="E250" sqref="E250"/>
    </sheetView>
  </sheetViews>
  <sheetFormatPr defaultRowHeight="15"/>
  <cols>
    <col min="1" max="1" width="11.42578125" bestFit="1" customWidth="1"/>
    <col min="2" max="2" width="12.5703125" bestFit="1" customWidth="1"/>
    <col min="3" max="3" width="19.5703125" bestFit="1" customWidth="1"/>
    <col min="4" max="4" width="20.42578125" bestFit="1" customWidth="1"/>
    <col min="5" max="5" width="17" bestFit="1" customWidth="1"/>
    <col min="6" max="6" width="20.42578125" bestFit="1" customWidth="1"/>
    <col min="7" max="7" width="11.42578125" bestFit="1" customWidth="1"/>
    <col min="8" max="8" width="14.85546875" bestFit="1" customWidth="1"/>
    <col min="9" max="9" width="14.7109375" bestFit="1" customWidth="1"/>
    <col min="10" max="10" width="19.5703125" bestFit="1" customWidth="1"/>
  </cols>
  <sheetData>
    <row r="1" spans="1:9">
      <c r="A1" s="19" t="s">
        <v>1</v>
      </c>
      <c r="B1" s="19" t="s">
        <v>2</v>
      </c>
      <c r="C1" s="19" t="s">
        <v>7</v>
      </c>
      <c r="D1" s="19" t="s">
        <v>8</v>
      </c>
      <c r="E1" s="19" t="s">
        <v>6</v>
      </c>
      <c r="F1" t="s">
        <v>76</v>
      </c>
      <c r="G1" t="s">
        <v>77</v>
      </c>
      <c r="H1" t="s">
        <v>78</v>
      </c>
      <c r="I1" t="s">
        <v>79</v>
      </c>
    </row>
    <row r="2" spans="1:9">
      <c r="A2" s="20">
        <v>45310</v>
      </c>
      <c r="B2" t="s">
        <v>19</v>
      </c>
      <c r="C2" t="s">
        <v>60</v>
      </c>
      <c r="D2" t="s">
        <v>18</v>
      </c>
      <c r="E2" t="s">
        <v>59</v>
      </c>
      <c r="F2" s="21">
        <v>2</v>
      </c>
      <c r="G2" s="21">
        <v>395</v>
      </c>
      <c r="H2" s="21">
        <v>790</v>
      </c>
      <c r="I2" s="21">
        <v>213.3</v>
      </c>
    </row>
    <row r="3" spans="1:9">
      <c r="D3" t="s">
        <v>80</v>
      </c>
      <c r="F3" s="21">
        <v>2</v>
      </c>
      <c r="G3" s="21">
        <v>395</v>
      </c>
      <c r="H3" s="21">
        <v>790</v>
      </c>
      <c r="I3" s="21">
        <v>213.3</v>
      </c>
    </row>
    <row r="4" spans="1:9">
      <c r="C4" t="s">
        <v>81</v>
      </c>
      <c r="F4" s="21">
        <v>2</v>
      </c>
      <c r="G4" s="21">
        <v>395</v>
      </c>
      <c r="H4" s="21">
        <v>790</v>
      </c>
      <c r="I4" s="21">
        <v>213.3</v>
      </c>
    </row>
    <row r="5" spans="1:9">
      <c r="B5" t="s">
        <v>82</v>
      </c>
      <c r="F5" s="21">
        <v>2</v>
      </c>
      <c r="G5" s="21">
        <v>395</v>
      </c>
      <c r="H5" s="21">
        <v>790</v>
      </c>
      <c r="I5" s="21">
        <v>213.3</v>
      </c>
    </row>
    <row r="6" spans="1:9">
      <c r="A6" t="s">
        <v>83</v>
      </c>
      <c r="F6" s="21">
        <v>2</v>
      </c>
      <c r="G6" s="21">
        <v>395</v>
      </c>
      <c r="H6" s="21">
        <v>790</v>
      </c>
      <c r="I6" s="21">
        <v>213.3</v>
      </c>
    </row>
    <row r="7" spans="1:9">
      <c r="A7" s="20">
        <v>45314</v>
      </c>
      <c r="B7" t="s">
        <v>15</v>
      </c>
      <c r="C7" t="s">
        <v>29</v>
      </c>
      <c r="D7" t="s">
        <v>22</v>
      </c>
      <c r="E7" t="s">
        <v>28</v>
      </c>
      <c r="F7" s="21">
        <v>16</v>
      </c>
      <c r="G7" s="21">
        <v>153</v>
      </c>
      <c r="H7" s="21">
        <v>2448</v>
      </c>
      <c r="I7" s="21">
        <v>734.4</v>
      </c>
    </row>
    <row r="8" spans="1:9">
      <c r="D8" t="s">
        <v>84</v>
      </c>
      <c r="F8" s="21">
        <v>16</v>
      </c>
      <c r="G8" s="21">
        <v>153</v>
      </c>
      <c r="H8" s="21">
        <v>2448</v>
      </c>
      <c r="I8" s="21">
        <v>734.4</v>
      </c>
    </row>
    <row r="9" spans="1:9">
      <c r="C9" t="s">
        <v>85</v>
      </c>
      <c r="F9" s="21">
        <v>16</v>
      </c>
      <c r="G9" s="21">
        <v>153</v>
      </c>
      <c r="H9" s="21">
        <v>2448</v>
      </c>
      <c r="I9" s="21">
        <v>734.4</v>
      </c>
    </row>
    <row r="10" spans="1:9">
      <c r="B10" t="s">
        <v>86</v>
      </c>
      <c r="F10" s="21">
        <v>16</v>
      </c>
      <c r="G10" s="21">
        <v>153</v>
      </c>
      <c r="H10" s="21">
        <v>2448</v>
      </c>
      <c r="I10" s="21">
        <v>734.4</v>
      </c>
    </row>
    <row r="11" spans="1:9">
      <c r="A11" t="s">
        <v>87</v>
      </c>
      <c r="F11" s="21">
        <v>16</v>
      </c>
      <c r="G11" s="21">
        <v>153</v>
      </c>
      <c r="H11" s="21">
        <v>2448</v>
      </c>
      <c r="I11" s="21">
        <v>734.4</v>
      </c>
    </row>
    <row r="12" spans="1:9">
      <c r="A12" s="20">
        <v>45315</v>
      </c>
      <c r="F12" s="21">
        <v>9</v>
      </c>
      <c r="G12" s="21">
        <v>289</v>
      </c>
      <c r="H12" s="21">
        <v>2601</v>
      </c>
      <c r="I12" s="21">
        <v>1092.42</v>
      </c>
    </row>
    <row r="13" spans="1:9">
      <c r="A13" s="20">
        <v>45330</v>
      </c>
      <c r="B13" t="s">
        <v>15</v>
      </c>
      <c r="C13" t="s">
        <v>31</v>
      </c>
      <c r="D13" t="s">
        <v>14</v>
      </c>
      <c r="E13" t="s">
        <v>50</v>
      </c>
      <c r="F13" s="21">
        <v>18</v>
      </c>
      <c r="G13" s="21">
        <v>403</v>
      </c>
      <c r="H13" s="21">
        <v>7254</v>
      </c>
      <c r="I13" s="21">
        <v>2974.14</v>
      </c>
    </row>
    <row r="14" spans="1:9">
      <c r="D14" t="s">
        <v>88</v>
      </c>
      <c r="F14" s="21">
        <v>18</v>
      </c>
      <c r="G14" s="21">
        <v>403</v>
      </c>
      <c r="H14" s="21">
        <v>7254</v>
      </c>
      <c r="I14" s="21">
        <v>2974.14</v>
      </c>
    </row>
    <row r="15" spans="1:9">
      <c r="C15" t="s">
        <v>89</v>
      </c>
      <c r="F15" s="21">
        <v>18</v>
      </c>
      <c r="G15" s="21">
        <v>403</v>
      </c>
      <c r="H15" s="21">
        <v>7254</v>
      </c>
      <c r="I15" s="21">
        <v>2974.14</v>
      </c>
    </row>
    <row r="16" spans="1:9">
      <c r="B16" t="s">
        <v>86</v>
      </c>
      <c r="F16" s="21">
        <v>18</v>
      </c>
      <c r="G16" s="21">
        <v>403</v>
      </c>
      <c r="H16" s="21">
        <v>7254</v>
      </c>
      <c r="I16" s="21">
        <v>2974.14</v>
      </c>
    </row>
    <row r="17" spans="1:9">
      <c r="A17" t="s">
        <v>90</v>
      </c>
      <c r="F17" s="21">
        <v>18</v>
      </c>
      <c r="G17" s="21">
        <v>403</v>
      </c>
      <c r="H17" s="21">
        <v>7254</v>
      </c>
      <c r="I17" s="21">
        <v>2974.14</v>
      </c>
    </row>
    <row r="18" spans="1:9">
      <c r="A18" s="20">
        <v>45341</v>
      </c>
      <c r="B18" t="s">
        <v>19</v>
      </c>
      <c r="C18" t="s">
        <v>49</v>
      </c>
      <c r="D18" t="s">
        <v>18</v>
      </c>
      <c r="E18" t="s">
        <v>48</v>
      </c>
      <c r="F18" s="21">
        <v>7</v>
      </c>
      <c r="G18" s="21">
        <v>450</v>
      </c>
      <c r="H18" s="21">
        <v>3150</v>
      </c>
      <c r="I18" s="21">
        <v>661.5</v>
      </c>
    </row>
    <row r="19" spans="1:9">
      <c r="D19" t="s">
        <v>80</v>
      </c>
      <c r="F19" s="21">
        <v>7</v>
      </c>
      <c r="G19" s="21">
        <v>450</v>
      </c>
      <c r="H19" s="21">
        <v>3150</v>
      </c>
      <c r="I19" s="21">
        <v>661.5</v>
      </c>
    </row>
    <row r="20" spans="1:9">
      <c r="C20" t="s">
        <v>91</v>
      </c>
      <c r="F20" s="21">
        <v>7</v>
      </c>
      <c r="G20" s="21">
        <v>450</v>
      </c>
      <c r="H20" s="21">
        <v>3150</v>
      </c>
      <c r="I20" s="21">
        <v>661.5</v>
      </c>
    </row>
    <row r="21" spans="1:9">
      <c r="B21" t="s">
        <v>82</v>
      </c>
      <c r="F21" s="21">
        <v>7</v>
      </c>
      <c r="G21" s="21">
        <v>450</v>
      </c>
      <c r="H21" s="21">
        <v>3150</v>
      </c>
      <c r="I21" s="21">
        <v>661.5</v>
      </c>
    </row>
    <row r="22" spans="1:9">
      <c r="A22" t="s">
        <v>92</v>
      </c>
      <c r="F22" s="21">
        <v>7</v>
      </c>
      <c r="G22" s="21">
        <v>450</v>
      </c>
      <c r="H22" s="21">
        <v>3150</v>
      </c>
      <c r="I22" s="21">
        <v>661.5</v>
      </c>
    </row>
    <row r="23" spans="1:9">
      <c r="A23" s="20">
        <v>45362</v>
      </c>
      <c r="B23" t="s">
        <v>11</v>
      </c>
      <c r="C23" t="s">
        <v>35</v>
      </c>
      <c r="D23" t="s">
        <v>14</v>
      </c>
      <c r="E23" t="s">
        <v>34</v>
      </c>
      <c r="F23" s="21">
        <v>19</v>
      </c>
      <c r="G23" s="21">
        <v>409</v>
      </c>
      <c r="H23" s="21">
        <v>7771</v>
      </c>
      <c r="I23" s="21">
        <v>2797.56</v>
      </c>
    </row>
    <row r="24" spans="1:9">
      <c r="D24" t="s">
        <v>88</v>
      </c>
      <c r="F24" s="21">
        <v>19</v>
      </c>
      <c r="G24" s="21">
        <v>409</v>
      </c>
      <c r="H24" s="21">
        <v>7771</v>
      </c>
      <c r="I24" s="21">
        <v>2797.56</v>
      </c>
    </row>
    <row r="25" spans="1:9">
      <c r="C25" t="s">
        <v>93</v>
      </c>
      <c r="F25" s="21">
        <v>19</v>
      </c>
      <c r="G25" s="21">
        <v>409</v>
      </c>
      <c r="H25" s="21">
        <v>7771</v>
      </c>
      <c r="I25" s="21">
        <v>2797.56</v>
      </c>
    </row>
    <row r="26" spans="1:9">
      <c r="B26" t="s">
        <v>94</v>
      </c>
      <c r="F26" s="21">
        <v>19</v>
      </c>
      <c r="G26" s="21">
        <v>409</v>
      </c>
      <c r="H26" s="21">
        <v>7771</v>
      </c>
      <c r="I26" s="21">
        <v>2797.56</v>
      </c>
    </row>
    <row r="27" spans="1:9">
      <c r="A27" t="s">
        <v>95</v>
      </c>
      <c r="F27" s="21">
        <v>19</v>
      </c>
      <c r="G27" s="21">
        <v>409</v>
      </c>
      <c r="H27" s="21">
        <v>7771</v>
      </c>
      <c r="I27" s="21">
        <v>2797.56</v>
      </c>
    </row>
    <row r="28" spans="1:9">
      <c r="A28" s="20">
        <v>45366</v>
      </c>
      <c r="B28" t="s">
        <v>23</v>
      </c>
      <c r="C28" t="s">
        <v>72</v>
      </c>
      <c r="D28" t="s">
        <v>18</v>
      </c>
      <c r="E28" t="s">
        <v>71</v>
      </c>
      <c r="F28" s="21">
        <v>3</v>
      </c>
      <c r="G28" s="21">
        <v>152</v>
      </c>
      <c r="H28" s="21">
        <v>456</v>
      </c>
      <c r="I28" s="21">
        <v>218.88</v>
      </c>
    </row>
    <row r="29" spans="1:9">
      <c r="D29" t="s">
        <v>80</v>
      </c>
      <c r="F29" s="21">
        <v>3</v>
      </c>
      <c r="G29" s="21">
        <v>152</v>
      </c>
      <c r="H29" s="21">
        <v>456</v>
      </c>
      <c r="I29" s="21">
        <v>218.88</v>
      </c>
    </row>
    <row r="30" spans="1:9">
      <c r="C30" t="s">
        <v>96</v>
      </c>
      <c r="F30" s="21">
        <v>3</v>
      </c>
      <c r="G30" s="21">
        <v>152</v>
      </c>
      <c r="H30" s="21">
        <v>456</v>
      </c>
      <c r="I30" s="21">
        <v>218.88</v>
      </c>
    </row>
    <row r="31" spans="1:9">
      <c r="B31" t="s">
        <v>97</v>
      </c>
      <c r="F31" s="21">
        <v>3</v>
      </c>
      <c r="G31" s="21">
        <v>152</v>
      </c>
      <c r="H31" s="21">
        <v>456</v>
      </c>
      <c r="I31" s="21">
        <v>218.88</v>
      </c>
    </row>
    <row r="32" spans="1:9">
      <c r="A32" t="s">
        <v>98</v>
      </c>
      <c r="F32" s="21">
        <v>3</v>
      </c>
      <c r="G32" s="21">
        <v>152</v>
      </c>
      <c r="H32" s="21">
        <v>456</v>
      </c>
      <c r="I32" s="21">
        <v>218.88</v>
      </c>
    </row>
    <row r="33" spans="1:9">
      <c r="A33" s="20">
        <v>45389</v>
      </c>
      <c r="B33" t="s">
        <v>19</v>
      </c>
      <c r="C33" t="s">
        <v>21</v>
      </c>
      <c r="D33" t="s">
        <v>22</v>
      </c>
      <c r="E33" t="s">
        <v>20</v>
      </c>
      <c r="F33" s="21">
        <v>12</v>
      </c>
      <c r="G33" s="21">
        <v>487</v>
      </c>
      <c r="H33" s="21">
        <v>5844</v>
      </c>
      <c r="I33" s="21">
        <v>2629.8</v>
      </c>
    </row>
    <row r="34" spans="1:9">
      <c r="D34" t="s">
        <v>84</v>
      </c>
      <c r="F34" s="21">
        <v>12</v>
      </c>
      <c r="G34" s="21">
        <v>487</v>
      </c>
      <c r="H34" s="21">
        <v>5844</v>
      </c>
      <c r="I34" s="21">
        <v>2629.8</v>
      </c>
    </row>
    <row r="35" spans="1:9">
      <c r="C35" t="s">
        <v>99</v>
      </c>
      <c r="F35" s="21">
        <v>12</v>
      </c>
      <c r="G35" s="21">
        <v>487</v>
      </c>
      <c r="H35" s="21">
        <v>5844</v>
      </c>
      <c r="I35" s="21">
        <v>2629.8</v>
      </c>
    </row>
    <row r="36" spans="1:9">
      <c r="B36" t="s">
        <v>82</v>
      </c>
      <c r="F36" s="21">
        <v>12</v>
      </c>
      <c r="G36" s="21">
        <v>487</v>
      </c>
      <c r="H36" s="21">
        <v>5844</v>
      </c>
      <c r="I36" s="21">
        <v>2629.8</v>
      </c>
    </row>
    <row r="37" spans="1:9">
      <c r="A37" t="s">
        <v>100</v>
      </c>
      <c r="F37" s="21">
        <v>12</v>
      </c>
      <c r="G37" s="21">
        <v>487</v>
      </c>
      <c r="H37" s="21">
        <v>5844</v>
      </c>
      <c r="I37" s="21">
        <v>2629.8</v>
      </c>
    </row>
    <row r="38" spans="1:9">
      <c r="A38" s="20">
        <v>45392</v>
      </c>
      <c r="B38" t="s">
        <v>23</v>
      </c>
      <c r="C38" t="s">
        <v>37</v>
      </c>
      <c r="D38" t="s">
        <v>18</v>
      </c>
      <c r="E38" t="s">
        <v>36</v>
      </c>
      <c r="F38" s="21">
        <v>12</v>
      </c>
      <c r="G38" s="21">
        <v>290</v>
      </c>
      <c r="H38" s="21">
        <v>3480</v>
      </c>
      <c r="I38" s="21">
        <v>904.8</v>
      </c>
    </row>
    <row r="39" spans="1:9">
      <c r="D39" t="s">
        <v>80</v>
      </c>
      <c r="F39" s="21">
        <v>12</v>
      </c>
      <c r="G39" s="21">
        <v>290</v>
      </c>
      <c r="H39" s="21">
        <v>3480</v>
      </c>
      <c r="I39" s="21">
        <v>904.8</v>
      </c>
    </row>
    <row r="40" spans="1:9">
      <c r="C40" t="s">
        <v>101</v>
      </c>
      <c r="F40" s="21">
        <v>12</v>
      </c>
      <c r="G40" s="21">
        <v>290</v>
      </c>
      <c r="H40" s="21">
        <v>3480</v>
      </c>
      <c r="I40" s="21">
        <v>904.8</v>
      </c>
    </row>
    <row r="41" spans="1:9">
      <c r="B41" t="s">
        <v>97</v>
      </c>
      <c r="F41" s="21">
        <v>12</v>
      </c>
      <c r="G41" s="21">
        <v>290</v>
      </c>
      <c r="H41" s="21">
        <v>3480</v>
      </c>
      <c r="I41" s="21">
        <v>904.8</v>
      </c>
    </row>
    <row r="42" spans="1:9">
      <c r="A42" t="s">
        <v>102</v>
      </c>
      <c r="F42" s="21">
        <v>12</v>
      </c>
      <c r="G42" s="21">
        <v>290</v>
      </c>
      <c r="H42" s="21">
        <v>3480</v>
      </c>
      <c r="I42" s="21">
        <v>904.8</v>
      </c>
    </row>
    <row r="43" spans="1:9">
      <c r="A43" s="20">
        <v>45423</v>
      </c>
      <c r="B43" t="s">
        <v>15</v>
      </c>
      <c r="C43" t="s">
        <v>70</v>
      </c>
      <c r="D43" t="s">
        <v>22</v>
      </c>
      <c r="E43" t="s">
        <v>69</v>
      </c>
      <c r="F43" s="21">
        <v>15</v>
      </c>
      <c r="G43" s="21">
        <v>466</v>
      </c>
      <c r="H43" s="21">
        <v>6990</v>
      </c>
      <c r="I43" s="21">
        <v>3495</v>
      </c>
    </row>
    <row r="44" spans="1:9">
      <c r="D44" t="s">
        <v>84</v>
      </c>
      <c r="F44" s="21">
        <v>15</v>
      </c>
      <c r="G44" s="21">
        <v>466</v>
      </c>
      <c r="H44" s="21">
        <v>6990</v>
      </c>
      <c r="I44" s="21">
        <v>3495</v>
      </c>
    </row>
    <row r="45" spans="1:9">
      <c r="C45" t="s">
        <v>103</v>
      </c>
      <c r="F45" s="21">
        <v>15</v>
      </c>
      <c r="G45" s="21">
        <v>466</v>
      </c>
      <c r="H45" s="21">
        <v>6990</v>
      </c>
      <c r="I45" s="21">
        <v>3495</v>
      </c>
    </row>
    <row r="46" spans="1:9">
      <c r="B46" t="s">
        <v>86</v>
      </c>
      <c r="F46" s="21">
        <v>15</v>
      </c>
      <c r="G46" s="21">
        <v>466</v>
      </c>
      <c r="H46" s="21">
        <v>6990</v>
      </c>
      <c r="I46" s="21">
        <v>3495</v>
      </c>
    </row>
    <row r="47" spans="1:9">
      <c r="A47" t="s">
        <v>104</v>
      </c>
      <c r="F47" s="21">
        <v>15</v>
      </c>
      <c r="G47" s="21">
        <v>466</v>
      </c>
      <c r="H47" s="21">
        <v>6990</v>
      </c>
      <c r="I47" s="21">
        <v>3495</v>
      </c>
    </row>
    <row r="48" spans="1:9">
      <c r="A48" s="20">
        <v>45435</v>
      </c>
      <c r="B48" t="s">
        <v>11</v>
      </c>
      <c r="C48" t="s">
        <v>41</v>
      </c>
      <c r="D48" t="s">
        <v>14</v>
      </c>
      <c r="E48" t="s">
        <v>40</v>
      </c>
      <c r="F48" s="21">
        <v>5</v>
      </c>
      <c r="G48" s="21">
        <v>143</v>
      </c>
      <c r="H48" s="21">
        <v>715</v>
      </c>
      <c r="I48" s="21">
        <v>307.45</v>
      </c>
    </row>
    <row r="49" spans="1:9">
      <c r="D49" t="s">
        <v>88</v>
      </c>
      <c r="F49" s="21">
        <v>5</v>
      </c>
      <c r="G49" s="21">
        <v>143</v>
      </c>
      <c r="H49" s="21">
        <v>715</v>
      </c>
      <c r="I49" s="21">
        <v>307.45</v>
      </c>
    </row>
    <row r="50" spans="1:9">
      <c r="C50" t="s">
        <v>105</v>
      </c>
      <c r="F50" s="21">
        <v>5</v>
      </c>
      <c r="G50" s="21">
        <v>143</v>
      </c>
      <c r="H50" s="21">
        <v>715</v>
      </c>
      <c r="I50" s="21">
        <v>307.45</v>
      </c>
    </row>
    <row r="51" spans="1:9">
      <c r="B51" t="s">
        <v>94</v>
      </c>
      <c r="F51" s="21">
        <v>5</v>
      </c>
      <c r="G51" s="21">
        <v>143</v>
      </c>
      <c r="H51" s="21">
        <v>715</v>
      </c>
      <c r="I51" s="21">
        <v>307.45</v>
      </c>
    </row>
    <row r="52" spans="1:9">
      <c r="A52" t="s">
        <v>106</v>
      </c>
      <c r="F52" s="21">
        <v>5</v>
      </c>
      <c r="G52" s="21">
        <v>143</v>
      </c>
      <c r="H52" s="21">
        <v>715</v>
      </c>
      <c r="I52" s="21">
        <v>307.45</v>
      </c>
    </row>
    <row r="53" spans="1:9">
      <c r="A53" s="20">
        <v>45436</v>
      </c>
      <c r="B53" t="s">
        <v>15</v>
      </c>
      <c r="C53" t="s">
        <v>47</v>
      </c>
      <c r="D53" t="s">
        <v>22</v>
      </c>
      <c r="E53" t="s">
        <v>46</v>
      </c>
      <c r="F53" s="21">
        <v>9</v>
      </c>
      <c r="G53" s="21">
        <v>369</v>
      </c>
      <c r="H53" s="21">
        <v>3321</v>
      </c>
      <c r="I53" s="21">
        <v>664.2</v>
      </c>
    </row>
    <row r="54" spans="1:9">
      <c r="D54" t="s">
        <v>84</v>
      </c>
      <c r="F54" s="21">
        <v>9</v>
      </c>
      <c r="G54" s="21">
        <v>369</v>
      </c>
      <c r="H54" s="21">
        <v>3321</v>
      </c>
      <c r="I54" s="21">
        <v>664.2</v>
      </c>
    </row>
    <row r="55" spans="1:9">
      <c r="C55" t="s">
        <v>107</v>
      </c>
      <c r="F55" s="21">
        <v>9</v>
      </c>
      <c r="G55" s="21">
        <v>369</v>
      </c>
      <c r="H55" s="21">
        <v>3321</v>
      </c>
      <c r="I55" s="21">
        <v>664.2</v>
      </c>
    </row>
    <row r="56" spans="1:9">
      <c r="B56" t="s">
        <v>86</v>
      </c>
      <c r="F56" s="21">
        <v>9</v>
      </c>
      <c r="G56" s="21">
        <v>369</v>
      </c>
      <c r="H56" s="21">
        <v>3321</v>
      </c>
      <c r="I56" s="21">
        <v>664.2</v>
      </c>
    </row>
    <row r="57" spans="1:9">
      <c r="A57" t="s">
        <v>108</v>
      </c>
      <c r="F57" s="21">
        <v>9</v>
      </c>
      <c r="G57" s="21">
        <v>369</v>
      </c>
      <c r="H57" s="21">
        <v>3321</v>
      </c>
      <c r="I57" s="21">
        <v>664.2</v>
      </c>
    </row>
    <row r="58" spans="1:9">
      <c r="A58" s="20">
        <v>45460</v>
      </c>
      <c r="B58" t="s">
        <v>11</v>
      </c>
      <c r="C58" t="s">
        <v>43</v>
      </c>
      <c r="D58" t="s">
        <v>18</v>
      </c>
      <c r="E58" t="s">
        <v>42</v>
      </c>
      <c r="F58" s="21">
        <v>19</v>
      </c>
      <c r="G58" s="21">
        <v>261</v>
      </c>
      <c r="H58" s="21">
        <v>4959</v>
      </c>
      <c r="I58" s="21">
        <v>1438.11</v>
      </c>
    </row>
    <row r="59" spans="1:9">
      <c r="D59" t="s">
        <v>80</v>
      </c>
      <c r="F59" s="21">
        <v>19</v>
      </c>
      <c r="G59" s="21">
        <v>261</v>
      </c>
      <c r="H59" s="21">
        <v>4959</v>
      </c>
      <c r="I59" s="21">
        <v>1438.11</v>
      </c>
    </row>
    <row r="60" spans="1:9">
      <c r="C60" t="s">
        <v>109</v>
      </c>
      <c r="F60" s="21">
        <v>19</v>
      </c>
      <c r="G60" s="21">
        <v>261</v>
      </c>
      <c r="H60" s="21">
        <v>4959</v>
      </c>
      <c r="I60" s="21">
        <v>1438.11</v>
      </c>
    </row>
    <row r="61" spans="1:9">
      <c r="B61" t="s">
        <v>94</v>
      </c>
      <c r="F61" s="21">
        <v>19</v>
      </c>
      <c r="G61" s="21">
        <v>261</v>
      </c>
      <c r="H61" s="21">
        <v>4959</v>
      </c>
      <c r="I61" s="21">
        <v>1438.11</v>
      </c>
    </row>
    <row r="62" spans="1:9">
      <c r="B62" t="s">
        <v>15</v>
      </c>
      <c r="C62" t="s">
        <v>64</v>
      </c>
      <c r="D62" t="s">
        <v>22</v>
      </c>
      <c r="E62" t="s">
        <v>63</v>
      </c>
      <c r="F62" s="21">
        <v>7</v>
      </c>
      <c r="G62" s="21">
        <v>307</v>
      </c>
      <c r="H62" s="21">
        <v>2149</v>
      </c>
      <c r="I62" s="21">
        <v>515.76</v>
      </c>
    </row>
    <row r="63" spans="1:9">
      <c r="D63" t="s">
        <v>84</v>
      </c>
      <c r="F63" s="21">
        <v>7</v>
      </c>
      <c r="G63" s="21">
        <v>307</v>
      </c>
      <c r="H63" s="21">
        <v>2149</v>
      </c>
      <c r="I63" s="21">
        <v>515.76</v>
      </c>
    </row>
    <row r="64" spans="1:9">
      <c r="C64" t="s">
        <v>110</v>
      </c>
      <c r="F64" s="21">
        <v>7</v>
      </c>
      <c r="G64" s="21">
        <v>307</v>
      </c>
      <c r="H64" s="21">
        <v>2149</v>
      </c>
      <c r="I64" s="21">
        <v>515.76</v>
      </c>
    </row>
    <row r="65" spans="1:9">
      <c r="B65" t="s">
        <v>86</v>
      </c>
      <c r="F65" s="21">
        <v>7</v>
      </c>
      <c r="G65" s="21">
        <v>307</v>
      </c>
      <c r="H65" s="21">
        <v>2149</v>
      </c>
      <c r="I65" s="21">
        <v>515.76</v>
      </c>
    </row>
    <row r="66" spans="1:9">
      <c r="A66" t="s">
        <v>111</v>
      </c>
      <c r="F66" s="21">
        <v>26</v>
      </c>
      <c r="G66" s="21">
        <v>568</v>
      </c>
      <c r="H66" s="21">
        <v>7108</v>
      </c>
      <c r="I66" s="21">
        <v>1953.87</v>
      </c>
    </row>
    <row r="67" spans="1:9">
      <c r="A67" s="20">
        <v>45466</v>
      </c>
      <c r="B67" t="s">
        <v>11</v>
      </c>
      <c r="C67" t="s">
        <v>39</v>
      </c>
      <c r="D67" t="s">
        <v>22</v>
      </c>
      <c r="E67" t="s">
        <v>38</v>
      </c>
      <c r="F67" s="21">
        <v>3</v>
      </c>
      <c r="G67" s="21">
        <v>317</v>
      </c>
      <c r="H67" s="21">
        <v>951</v>
      </c>
      <c r="I67" s="21">
        <v>475.5</v>
      </c>
    </row>
    <row r="68" spans="1:9">
      <c r="D68" t="s">
        <v>84</v>
      </c>
      <c r="F68" s="21">
        <v>3</v>
      </c>
      <c r="G68" s="21">
        <v>317</v>
      </c>
      <c r="H68" s="21">
        <v>951</v>
      </c>
      <c r="I68" s="21">
        <v>475.5</v>
      </c>
    </row>
    <row r="69" spans="1:9">
      <c r="C69" t="s">
        <v>112</v>
      </c>
      <c r="F69" s="21">
        <v>3</v>
      </c>
      <c r="G69" s="21">
        <v>317</v>
      </c>
      <c r="H69" s="21">
        <v>951</v>
      </c>
      <c r="I69" s="21">
        <v>475.5</v>
      </c>
    </row>
    <row r="70" spans="1:9">
      <c r="B70" t="s">
        <v>94</v>
      </c>
      <c r="F70" s="21">
        <v>3</v>
      </c>
      <c r="G70" s="21">
        <v>317</v>
      </c>
      <c r="H70" s="21">
        <v>951</v>
      </c>
      <c r="I70" s="21">
        <v>475.5</v>
      </c>
    </row>
    <row r="71" spans="1:9">
      <c r="A71" t="s">
        <v>113</v>
      </c>
      <c r="F71" s="21">
        <v>3</v>
      </c>
      <c r="G71" s="21">
        <v>317</v>
      </c>
      <c r="H71" s="21">
        <v>951</v>
      </c>
      <c r="I71" s="21">
        <v>475.5</v>
      </c>
    </row>
    <row r="72" spans="1:9">
      <c r="A72" s="20">
        <v>45491</v>
      </c>
      <c r="B72" t="s">
        <v>11</v>
      </c>
      <c r="C72" t="s">
        <v>27</v>
      </c>
      <c r="D72" t="s">
        <v>18</v>
      </c>
      <c r="E72" t="s">
        <v>26</v>
      </c>
      <c r="F72" s="21">
        <v>10</v>
      </c>
      <c r="G72" s="21">
        <v>489</v>
      </c>
      <c r="H72" s="21">
        <v>4890</v>
      </c>
      <c r="I72" s="21">
        <v>1613.7</v>
      </c>
    </row>
    <row r="73" spans="1:9">
      <c r="D73" t="s">
        <v>80</v>
      </c>
      <c r="F73" s="21">
        <v>10</v>
      </c>
      <c r="G73" s="21">
        <v>489</v>
      </c>
      <c r="H73" s="21">
        <v>4890</v>
      </c>
      <c r="I73" s="21">
        <v>1613.7</v>
      </c>
    </row>
    <row r="74" spans="1:9">
      <c r="C74" t="s">
        <v>114</v>
      </c>
      <c r="F74" s="21">
        <v>10</v>
      </c>
      <c r="G74" s="21">
        <v>489</v>
      </c>
      <c r="H74" s="21">
        <v>4890</v>
      </c>
      <c r="I74" s="21">
        <v>1613.7</v>
      </c>
    </row>
    <row r="75" spans="1:9">
      <c r="B75" t="s">
        <v>94</v>
      </c>
      <c r="F75" s="21">
        <v>10</v>
      </c>
      <c r="G75" s="21">
        <v>489</v>
      </c>
      <c r="H75" s="21">
        <v>4890</v>
      </c>
      <c r="I75" s="21">
        <v>1613.7</v>
      </c>
    </row>
    <row r="76" spans="1:9">
      <c r="A76" t="s">
        <v>115</v>
      </c>
      <c r="F76" s="21">
        <v>10</v>
      </c>
      <c r="G76" s="21">
        <v>489</v>
      </c>
      <c r="H76" s="21">
        <v>4890</v>
      </c>
      <c r="I76" s="21">
        <v>1613.7</v>
      </c>
    </row>
    <row r="77" spans="1:9">
      <c r="A77" s="20">
        <v>45509</v>
      </c>
      <c r="B77" t="s">
        <v>23</v>
      </c>
      <c r="C77" t="s">
        <v>74</v>
      </c>
      <c r="D77" t="s">
        <v>22</v>
      </c>
      <c r="E77" t="s">
        <v>73</v>
      </c>
      <c r="F77" s="21">
        <v>14</v>
      </c>
      <c r="G77" s="21">
        <v>379</v>
      </c>
      <c r="H77" s="21">
        <v>5306</v>
      </c>
      <c r="I77" s="21">
        <v>2069.34</v>
      </c>
    </row>
    <row r="78" spans="1:9">
      <c r="D78" t="s">
        <v>84</v>
      </c>
      <c r="F78" s="21">
        <v>14</v>
      </c>
      <c r="G78" s="21">
        <v>379</v>
      </c>
      <c r="H78" s="21">
        <v>5306</v>
      </c>
      <c r="I78" s="21">
        <v>2069.34</v>
      </c>
    </row>
    <row r="79" spans="1:9">
      <c r="C79" t="s">
        <v>116</v>
      </c>
      <c r="F79" s="21">
        <v>14</v>
      </c>
      <c r="G79" s="21">
        <v>379</v>
      </c>
      <c r="H79" s="21">
        <v>5306</v>
      </c>
      <c r="I79" s="21">
        <v>2069.34</v>
      </c>
    </row>
    <row r="80" spans="1:9">
      <c r="B80" t="s">
        <v>97</v>
      </c>
      <c r="F80" s="21">
        <v>14</v>
      </c>
      <c r="G80" s="21">
        <v>379</v>
      </c>
      <c r="H80" s="21">
        <v>5306</v>
      </c>
      <c r="I80" s="21">
        <v>2069.34</v>
      </c>
    </row>
    <row r="81" spans="1:9">
      <c r="A81" t="s">
        <v>117</v>
      </c>
      <c r="F81" s="21">
        <v>14</v>
      </c>
      <c r="G81" s="21">
        <v>379</v>
      </c>
      <c r="H81" s="21">
        <v>5306</v>
      </c>
      <c r="I81" s="21">
        <v>2069.34</v>
      </c>
    </row>
    <row r="82" spans="1:9">
      <c r="A82" s="20">
        <v>45531</v>
      </c>
      <c r="B82" t="s">
        <v>15</v>
      </c>
      <c r="C82" t="s">
        <v>17</v>
      </c>
      <c r="D82" t="s">
        <v>18</v>
      </c>
      <c r="E82" t="s">
        <v>16</v>
      </c>
      <c r="F82" s="21">
        <v>12</v>
      </c>
      <c r="G82" s="21">
        <v>459</v>
      </c>
      <c r="H82" s="21">
        <v>5508</v>
      </c>
      <c r="I82" s="21">
        <v>1266.8399999999999</v>
      </c>
    </row>
    <row r="83" spans="1:9">
      <c r="D83" t="s">
        <v>80</v>
      </c>
      <c r="F83" s="21">
        <v>12</v>
      </c>
      <c r="G83" s="21">
        <v>459</v>
      </c>
      <c r="H83" s="21">
        <v>5508</v>
      </c>
      <c r="I83" s="21">
        <v>1266.8399999999999</v>
      </c>
    </row>
    <row r="84" spans="1:9">
      <c r="C84" t="s">
        <v>118</v>
      </c>
      <c r="F84" s="21">
        <v>12</v>
      </c>
      <c r="G84" s="21">
        <v>459</v>
      </c>
      <c r="H84" s="21">
        <v>5508</v>
      </c>
      <c r="I84" s="21">
        <v>1266.8399999999999</v>
      </c>
    </row>
    <row r="85" spans="1:9">
      <c r="B85" t="s">
        <v>86</v>
      </c>
      <c r="F85" s="21">
        <v>12</v>
      </c>
      <c r="G85" s="21">
        <v>459</v>
      </c>
      <c r="H85" s="21">
        <v>5508</v>
      </c>
      <c r="I85" s="21">
        <v>1266.8399999999999</v>
      </c>
    </row>
    <row r="86" spans="1:9">
      <c r="A86" t="s">
        <v>119</v>
      </c>
      <c r="F86" s="21">
        <v>12</v>
      </c>
      <c r="G86" s="21">
        <v>459</v>
      </c>
      <c r="H86" s="21">
        <v>5508</v>
      </c>
      <c r="I86" s="21">
        <v>1266.8399999999999</v>
      </c>
    </row>
    <row r="87" spans="1:9">
      <c r="A87" s="20">
        <v>45540</v>
      </c>
      <c r="B87" t="s">
        <v>15</v>
      </c>
      <c r="C87" t="s">
        <v>52</v>
      </c>
      <c r="D87" t="s">
        <v>22</v>
      </c>
      <c r="E87" t="s">
        <v>51</v>
      </c>
      <c r="F87" s="21">
        <v>4</v>
      </c>
      <c r="G87" s="21">
        <v>370</v>
      </c>
      <c r="H87" s="21">
        <v>1480</v>
      </c>
      <c r="I87" s="21">
        <v>680.8</v>
      </c>
    </row>
    <row r="88" spans="1:9">
      <c r="D88" t="s">
        <v>84</v>
      </c>
      <c r="F88" s="21">
        <v>4</v>
      </c>
      <c r="G88" s="21">
        <v>370</v>
      </c>
      <c r="H88" s="21">
        <v>1480</v>
      </c>
      <c r="I88" s="21">
        <v>680.8</v>
      </c>
    </row>
    <row r="89" spans="1:9">
      <c r="C89" t="s">
        <v>120</v>
      </c>
      <c r="F89" s="21">
        <v>4</v>
      </c>
      <c r="G89" s="21">
        <v>370</v>
      </c>
      <c r="H89" s="21">
        <v>1480</v>
      </c>
      <c r="I89" s="21">
        <v>680.8</v>
      </c>
    </row>
    <row r="90" spans="1:9">
      <c r="B90" t="s">
        <v>86</v>
      </c>
      <c r="F90" s="21">
        <v>4</v>
      </c>
      <c r="G90" s="21">
        <v>370</v>
      </c>
      <c r="H90" s="21">
        <v>1480</v>
      </c>
      <c r="I90" s="21">
        <v>680.8</v>
      </c>
    </row>
    <row r="91" spans="1:9">
      <c r="A91" t="s">
        <v>121</v>
      </c>
      <c r="F91" s="21">
        <v>4</v>
      </c>
      <c r="G91" s="21">
        <v>370</v>
      </c>
      <c r="H91" s="21">
        <v>1480</v>
      </c>
      <c r="I91" s="21">
        <v>680.8</v>
      </c>
    </row>
    <row r="92" spans="1:9">
      <c r="A92" s="20">
        <v>45543</v>
      </c>
      <c r="B92" t="s">
        <v>11</v>
      </c>
      <c r="C92" t="s">
        <v>56</v>
      </c>
      <c r="D92" t="s">
        <v>14</v>
      </c>
      <c r="E92" t="s">
        <v>55</v>
      </c>
      <c r="F92" s="21">
        <v>18</v>
      </c>
      <c r="G92" s="21">
        <v>351</v>
      </c>
      <c r="H92" s="21">
        <v>6318</v>
      </c>
      <c r="I92" s="21">
        <v>2274.48</v>
      </c>
    </row>
    <row r="93" spans="1:9">
      <c r="D93" t="s">
        <v>88</v>
      </c>
      <c r="F93" s="21">
        <v>18</v>
      </c>
      <c r="G93" s="21">
        <v>351</v>
      </c>
      <c r="H93" s="21">
        <v>6318</v>
      </c>
      <c r="I93" s="21">
        <v>2274.48</v>
      </c>
    </row>
    <row r="94" spans="1:9">
      <c r="C94" t="s">
        <v>122</v>
      </c>
      <c r="F94" s="21">
        <v>18</v>
      </c>
      <c r="G94" s="21">
        <v>351</v>
      </c>
      <c r="H94" s="21">
        <v>6318</v>
      </c>
      <c r="I94" s="21">
        <v>2274.48</v>
      </c>
    </row>
    <row r="95" spans="1:9">
      <c r="B95" t="s">
        <v>94</v>
      </c>
      <c r="F95" s="21">
        <v>18</v>
      </c>
      <c r="G95" s="21">
        <v>351</v>
      </c>
      <c r="H95" s="21">
        <v>6318</v>
      </c>
      <c r="I95" s="21">
        <v>2274.48</v>
      </c>
    </row>
    <row r="96" spans="1:9">
      <c r="A96" t="s">
        <v>123</v>
      </c>
      <c r="F96" s="21">
        <v>18</v>
      </c>
      <c r="G96" s="21">
        <v>351</v>
      </c>
      <c r="H96" s="21">
        <v>6318</v>
      </c>
      <c r="I96" s="21">
        <v>2274.48</v>
      </c>
    </row>
    <row r="97" spans="1:9">
      <c r="A97" s="20">
        <v>45560</v>
      </c>
      <c r="B97" t="s">
        <v>15</v>
      </c>
      <c r="C97" t="s">
        <v>33</v>
      </c>
      <c r="D97" t="s">
        <v>18</v>
      </c>
      <c r="E97" t="s">
        <v>75</v>
      </c>
      <c r="F97" s="21">
        <v>17</v>
      </c>
      <c r="G97" s="21">
        <v>316</v>
      </c>
      <c r="H97" s="21">
        <v>5372</v>
      </c>
      <c r="I97" s="21">
        <v>2202.52</v>
      </c>
    </row>
    <row r="98" spans="1:9">
      <c r="D98" t="s">
        <v>80</v>
      </c>
      <c r="F98" s="21">
        <v>17</v>
      </c>
      <c r="G98" s="21">
        <v>316</v>
      </c>
      <c r="H98" s="21">
        <v>5372</v>
      </c>
      <c r="I98" s="21">
        <v>2202.52</v>
      </c>
    </row>
    <row r="99" spans="1:9">
      <c r="C99" t="s">
        <v>124</v>
      </c>
      <c r="F99" s="21">
        <v>17</v>
      </c>
      <c r="G99" s="21">
        <v>316</v>
      </c>
      <c r="H99" s="21">
        <v>5372</v>
      </c>
      <c r="I99" s="21">
        <v>2202.52</v>
      </c>
    </row>
    <row r="100" spans="1:9">
      <c r="B100" t="s">
        <v>86</v>
      </c>
      <c r="F100" s="21">
        <v>17</v>
      </c>
      <c r="G100" s="21">
        <v>316</v>
      </c>
      <c r="H100" s="21">
        <v>5372</v>
      </c>
      <c r="I100" s="21">
        <v>2202.52</v>
      </c>
    </row>
    <row r="101" spans="1:9">
      <c r="A101" t="s">
        <v>125</v>
      </c>
      <c r="F101" s="21">
        <v>17</v>
      </c>
      <c r="G101" s="21">
        <v>316</v>
      </c>
      <c r="H101" s="21">
        <v>5372</v>
      </c>
      <c r="I101" s="21">
        <v>2202.52</v>
      </c>
    </row>
    <row r="102" spans="1:9">
      <c r="A102" s="20">
        <v>45576</v>
      </c>
      <c r="B102" t="s">
        <v>11</v>
      </c>
      <c r="C102" t="s">
        <v>45</v>
      </c>
      <c r="D102" t="s">
        <v>14</v>
      </c>
      <c r="E102" t="s">
        <v>44</v>
      </c>
      <c r="F102" s="21">
        <v>7</v>
      </c>
      <c r="G102" s="21">
        <v>301</v>
      </c>
      <c r="H102" s="21">
        <v>2107</v>
      </c>
      <c r="I102" s="21">
        <v>484.61</v>
      </c>
    </row>
    <row r="103" spans="1:9">
      <c r="D103" t="s">
        <v>88</v>
      </c>
      <c r="F103" s="21">
        <v>7</v>
      </c>
      <c r="G103" s="21">
        <v>301</v>
      </c>
      <c r="H103" s="21">
        <v>2107</v>
      </c>
      <c r="I103" s="21">
        <v>484.61</v>
      </c>
    </row>
    <row r="104" spans="1:9">
      <c r="C104" t="s">
        <v>126</v>
      </c>
      <c r="F104" s="21">
        <v>7</v>
      </c>
      <c r="G104" s="21">
        <v>301</v>
      </c>
      <c r="H104" s="21">
        <v>2107</v>
      </c>
      <c r="I104" s="21">
        <v>484.61</v>
      </c>
    </row>
    <row r="105" spans="1:9">
      <c r="B105" t="s">
        <v>94</v>
      </c>
      <c r="F105" s="21">
        <v>7</v>
      </c>
      <c r="G105" s="21">
        <v>301</v>
      </c>
      <c r="H105" s="21">
        <v>2107</v>
      </c>
      <c r="I105" s="21">
        <v>484.61</v>
      </c>
    </row>
    <row r="106" spans="1:9">
      <c r="A106" t="s">
        <v>127</v>
      </c>
      <c r="F106" s="21">
        <v>7</v>
      </c>
      <c r="G106" s="21">
        <v>301</v>
      </c>
      <c r="H106" s="21">
        <v>2107</v>
      </c>
      <c r="I106" s="21">
        <v>484.61</v>
      </c>
    </row>
    <row r="107" spans="1:9">
      <c r="A107" s="20">
        <v>45584</v>
      </c>
      <c r="B107" t="s">
        <v>15</v>
      </c>
      <c r="C107" t="s">
        <v>66</v>
      </c>
      <c r="D107" t="s">
        <v>18</v>
      </c>
      <c r="E107" t="s">
        <v>65</v>
      </c>
      <c r="F107" s="21">
        <v>12</v>
      </c>
      <c r="G107" s="21">
        <v>336</v>
      </c>
      <c r="H107" s="21">
        <v>4032</v>
      </c>
      <c r="I107" s="21">
        <v>806.4</v>
      </c>
    </row>
    <row r="108" spans="1:9">
      <c r="D108" t="s">
        <v>80</v>
      </c>
      <c r="F108" s="21">
        <v>12</v>
      </c>
      <c r="G108" s="21">
        <v>336</v>
      </c>
      <c r="H108" s="21">
        <v>4032</v>
      </c>
      <c r="I108" s="21">
        <v>806.4</v>
      </c>
    </row>
    <row r="109" spans="1:9">
      <c r="C109" t="s">
        <v>128</v>
      </c>
      <c r="F109" s="21">
        <v>12</v>
      </c>
      <c r="G109" s="21">
        <v>336</v>
      </c>
      <c r="H109" s="21">
        <v>4032</v>
      </c>
      <c r="I109" s="21">
        <v>806.4</v>
      </c>
    </row>
    <row r="110" spans="1:9">
      <c r="B110" t="s">
        <v>86</v>
      </c>
      <c r="F110" s="21">
        <v>12</v>
      </c>
      <c r="G110" s="21">
        <v>336</v>
      </c>
      <c r="H110" s="21">
        <v>4032</v>
      </c>
      <c r="I110" s="21">
        <v>806.4</v>
      </c>
    </row>
    <row r="111" spans="1:9">
      <c r="A111" t="s">
        <v>129</v>
      </c>
      <c r="F111" s="21">
        <v>12</v>
      </c>
      <c r="G111" s="21">
        <v>336</v>
      </c>
      <c r="H111" s="21">
        <v>4032</v>
      </c>
      <c r="I111" s="21">
        <v>806.4</v>
      </c>
    </row>
    <row r="112" spans="1:9">
      <c r="A112" s="20">
        <v>45585</v>
      </c>
      <c r="B112" t="s">
        <v>19</v>
      </c>
      <c r="C112" t="s">
        <v>33</v>
      </c>
      <c r="D112" t="s">
        <v>18</v>
      </c>
      <c r="E112" t="s">
        <v>32</v>
      </c>
      <c r="F112" s="21">
        <v>15</v>
      </c>
      <c r="G112" s="21">
        <v>359</v>
      </c>
      <c r="H112" s="21">
        <v>5385</v>
      </c>
      <c r="I112" s="21">
        <v>1400.1</v>
      </c>
    </row>
    <row r="113" spans="1:9">
      <c r="D113" t="s">
        <v>80</v>
      </c>
      <c r="F113" s="21">
        <v>15</v>
      </c>
      <c r="G113" s="21">
        <v>359</v>
      </c>
      <c r="H113" s="21">
        <v>5385</v>
      </c>
      <c r="I113" s="21">
        <v>1400.1</v>
      </c>
    </row>
    <row r="114" spans="1:9">
      <c r="C114" t="s">
        <v>124</v>
      </c>
      <c r="F114" s="21">
        <v>15</v>
      </c>
      <c r="G114" s="21">
        <v>359</v>
      </c>
      <c r="H114" s="21">
        <v>5385</v>
      </c>
      <c r="I114" s="21">
        <v>1400.1</v>
      </c>
    </row>
    <row r="115" spans="1:9">
      <c r="B115" t="s">
        <v>82</v>
      </c>
      <c r="F115" s="21">
        <v>15</v>
      </c>
      <c r="G115" s="21">
        <v>359</v>
      </c>
      <c r="H115" s="21">
        <v>5385</v>
      </c>
      <c r="I115" s="21">
        <v>1400.1</v>
      </c>
    </row>
    <row r="116" spans="1:9">
      <c r="A116" t="s">
        <v>130</v>
      </c>
      <c r="F116" s="21">
        <v>15</v>
      </c>
      <c r="G116" s="21">
        <v>359</v>
      </c>
      <c r="H116" s="21">
        <v>5385</v>
      </c>
      <c r="I116" s="21">
        <v>1400.1</v>
      </c>
    </row>
    <row r="117" spans="1:9">
      <c r="A117" s="20">
        <v>45586</v>
      </c>
      <c r="B117" t="s">
        <v>11</v>
      </c>
      <c r="C117" t="s">
        <v>25</v>
      </c>
      <c r="D117" t="s">
        <v>14</v>
      </c>
      <c r="E117" t="s">
        <v>24</v>
      </c>
      <c r="F117" s="21">
        <v>17</v>
      </c>
      <c r="G117" s="21">
        <v>101</v>
      </c>
      <c r="H117" s="21">
        <v>1717</v>
      </c>
      <c r="I117" s="21">
        <v>360.57</v>
      </c>
    </row>
    <row r="118" spans="1:9">
      <c r="D118" t="s">
        <v>88</v>
      </c>
      <c r="F118" s="21">
        <v>17</v>
      </c>
      <c r="G118" s="21">
        <v>101</v>
      </c>
      <c r="H118" s="21">
        <v>1717</v>
      </c>
      <c r="I118" s="21">
        <v>360.57</v>
      </c>
    </row>
    <row r="119" spans="1:9">
      <c r="C119" t="s">
        <v>131</v>
      </c>
      <c r="F119" s="21">
        <v>17</v>
      </c>
      <c r="G119" s="21">
        <v>101</v>
      </c>
      <c r="H119" s="21">
        <v>1717</v>
      </c>
      <c r="I119" s="21">
        <v>360.57</v>
      </c>
    </row>
    <row r="120" spans="1:9">
      <c r="B120" t="s">
        <v>94</v>
      </c>
      <c r="F120" s="21">
        <v>17</v>
      </c>
      <c r="G120" s="21">
        <v>101</v>
      </c>
      <c r="H120" s="21">
        <v>1717</v>
      </c>
      <c r="I120" s="21">
        <v>360.57</v>
      </c>
    </row>
    <row r="121" spans="1:9">
      <c r="A121" t="s">
        <v>132</v>
      </c>
      <c r="F121" s="21">
        <v>17</v>
      </c>
      <c r="G121" s="21">
        <v>101</v>
      </c>
      <c r="H121" s="21">
        <v>1717</v>
      </c>
      <c r="I121" s="21">
        <v>360.57</v>
      </c>
    </row>
    <row r="122" spans="1:9">
      <c r="A122" s="20">
        <v>45608</v>
      </c>
      <c r="B122" t="s">
        <v>11</v>
      </c>
      <c r="C122" t="s">
        <v>13</v>
      </c>
      <c r="D122" t="s">
        <v>14</v>
      </c>
      <c r="E122" t="s">
        <v>12</v>
      </c>
      <c r="F122" s="21">
        <v>1</v>
      </c>
      <c r="G122" s="21">
        <v>149</v>
      </c>
      <c r="H122" s="21">
        <v>149</v>
      </c>
      <c r="I122" s="21">
        <v>70.03</v>
      </c>
    </row>
    <row r="123" spans="1:9">
      <c r="D123" t="s">
        <v>88</v>
      </c>
      <c r="F123" s="21">
        <v>1</v>
      </c>
      <c r="G123" s="21">
        <v>149</v>
      </c>
      <c r="H123" s="21">
        <v>149</v>
      </c>
      <c r="I123" s="21">
        <v>70.03</v>
      </c>
    </row>
    <row r="124" spans="1:9">
      <c r="C124" t="s">
        <v>133</v>
      </c>
      <c r="F124" s="21">
        <v>1</v>
      </c>
      <c r="G124" s="21">
        <v>149</v>
      </c>
      <c r="H124" s="21">
        <v>149</v>
      </c>
      <c r="I124" s="21">
        <v>70.03</v>
      </c>
    </row>
    <row r="125" spans="1:9">
      <c r="B125" t="s">
        <v>94</v>
      </c>
      <c r="F125" s="21">
        <v>1</v>
      </c>
      <c r="G125" s="21">
        <v>149</v>
      </c>
      <c r="H125" s="21">
        <v>149</v>
      </c>
      <c r="I125" s="21">
        <v>70.03</v>
      </c>
    </row>
    <row r="126" spans="1:9">
      <c r="A126" t="s">
        <v>134</v>
      </c>
      <c r="F126" s="21">
        <v>1</v>
      </c>
      <c r="G126" s="21">
        <v>149</v>
      </c>
      <c r="H126" s="21">
        <v>149</v>
      </c>
      <c r="I126" s="21">
        <v>70.03</v>
      </c>
    </row>
    <row r="127" spans="1:9">
      <c r="A127" s="20">
        <v>45612</v>
      </c>
      <c r="B127" t="s">
        <v>23</v>
      </c>
      <c r="C127" t="s">
        <v>68</v>
      </c>
      <c r="D127" t="s">
        <v>14</v>
      </c>
      <c r="E127" t="s">
        <v>67</v>
      </c>
      <c r="F127" s="21">
        <v>8</v>
      </c>
      <c r="G127" s="21">
        <v>437</v>
      </c>
      <c r="H127" s="21">
        <v>3496</v>
      </c>
      <c r="I127" s="21">
        <v>1258.56</v>
      </c>
    </row>
    <row r="128" spans="1:9">
      <c r="D128" t="s">
        <v>88</v>
      </c>
      <c r="F128" s="21">
        <v>8</v>
      </c>
      <c r="G128" s="21">
        <v>437</v>
      </c>
      <c r="H128" s="21">
        <v>3496</v>
      </c>
      <c r="I128" s="21">
        <v>1258.56</v>
      </c>
    </row>
    <row r="129" spans="1:9">
      <c r="C129" t="s">
        <v>135</v>
      </c>
      <c r="F129" s="21">
        <v>8</v>
      </c>
      <c r="G129" s="21">
        <v>437</v>
      </c>
      <c r="H129" s="21">
        <v>3496</v>
      </c>
      <c r="I129" s="21">
        <v>1258.56</v>
      </c>
    </row>
    <row r="130" spans="1:9">
      <c r="B130" t="s">
        <v>97</v>
      </c>
      <c r="F130" s="21">
        <v>8</v>
      </c>
      <c r="G130" s="21">
        <v>437</v>
      </c>
      <c r="H130" s="21">
        <v>3496</v>
      </c>
      <c r="I130" s="21">
        <v>1258.56</v>
      </c>
    </row>
    <row r="131" spans="1:9">
      <c r="A131" t="s">
        <v>136</v>
      </c>
      <c r="F131" s="21">
        <v>8</v>
      </c>
      <c r="G131" s="21">
        <v>437</v>
      </c>
      <c r="H131" s="21">
        <v>3496</v>
      </c>
      <c r="I131" s="21">
        <v>1258.56</v>
      </c>
    </row>
    <row r="132" spans="1:9">
      <c r="A132" s="20">
        <v>45615</v>
      </c>
      <c r="B132" t="s">
        <v>15</v>
      </c>
      <c r="C132" t="s">
        <v>54</v>
      </c>
      <c r="D132" t="s">
        <v>18</v>
      </c>
      <c r="E132" t="s">
        <v>53</v>
      </c>
      <c r="F132" s="21">
        <v>14</v>
      </c>
      <c r="G132" s="21">
        <v>314</v>
      </c>
      <c r="H132" s="21">
        <v>4396</v>
      </c>
      <c r="I132" s="21">
        <v>2198</v>
      </c>
    </row>
    <row r="133" spans="1:9">
      <c r="D133" t="s">
        <v>80</v>
      </c>
      <c r="F133" s="21">
        <v>14</v>
      </c>
      <c r="G133" s="21">
        <v>314</v>
      </c>
      <c r="H133" s="21">
        <v>4396</v>
      </c>
      <c r="I133" s="21">
        <v>2198</v>
      </c>
    </row>
    <row r="134" spans="1:9">
      <c r="C134" t="s">
        <v>137</v>
      </c>
      <c r="F134" s="21">
        <v>14</v>
      </c>
      <c r="G134" s="21">
        <v>314</v>
      </c>
      <c r="H134" s="21">
        <v>4396</v>
      </c>
      <c r="I134" s="21">
        <v>2198</v>
      </c>
    </row>
    <row r="135" spans="1:9">
      <c r="B135" t="s">
        <v>86</v>
      </c>
      <c r="F135" s="21">
        <v>14</v>
      </c>
      <c r="G135" s="21">
        <v>314</v>
      </c>
      <c r="H135" s="21">
        <v>4396</v>
      </c>
      <c r="I135" s="21">
        <v>2198</v>
      </c>
    </row>
    <row r="136" spans="1:9">
      <c r="A136" t="s">
        <v>138</v>
      </c>
      <c r="F136" s="21">
        <v>14</v>
      </c>
      <c r="G136" s="21">
        <v>314</v>
      </c>
      <c r="H136" s="21">
        <v>4396</v>
      </c>
      <c r="I136" s="21">
        <v>2198</v>
      </c>
    </row>
    <row r="137" spans="1:9">
      <c r="A137" s="20">
        <v>45629</v>
      </c>
      <c r="B137" t="s">
        <v>23</v>
      </c>
      <c r="C137" t="s">
        <v>62</v>
      </c>
      <c r="D137" t="s">
        <v>14</v>
      </c>
      <c r="E137" t="s">
        <v>61</v>
      </c>
      <c r="F137" s="21">
        <v>15</v>
      </c>
      <c r="G137" s="21">
        <v>312</v>
      </c>
      <c r="H137" s="21">
        <v>4680</v>
      </c>
      <c r="I137" s="21">
        <v>1450.8</v>
      </c>
    </row>
    <row r="138" spans="1:9">
      <c r="D138" t="s">
        <v>88</v>
      </c>
      <c r="F138" s="21">
        <v>15</v>
      </c>
      <c r="G138" s="21">
        <v>312</v>
      </c>
      <c r="H138" s="21">
        <v>4680</v>
      </c>
      <c r="I138" s="21">
        <v>1450.8</v>
      </c>
    </row>
    <row r="139" spans="1:9">
      <c r="C139" t="s">
        <v>139</v>
      </c>
      <c r="F139" s="21">
        <v>15</v>
      </c>
      <c r="G139" s="21">
        <v>312</v>
      </c>
      <c r="H139" s="21">
        <v>4680</v>
      </c>
      <c r="I139" s="21">
        <v>1450.8</v>
      </c>
    </row>
    <row r="140" spans="1:9">
      <c r="B140" t="s">
        <v>97</v>
      </c>
      <c r="F140" s="21">
        <v>15</v>
      </c>
      <c r="G140" s="21">
        <v>312</v>
      </c>
      <c r="H140" s="21">
        <v>4680</v>
      </c>
      <c r="I140" s="21">
        <v>1450.8</v>
      </c>
    </row>
    <row r="141" spans="1:9">
      <c r="A141" t="s">
        <v>140</v>
      </c>
      <c r="F141" s="21">
        <v>15</v>
      </c>
      <c r="G141" s="21">
        <v>312</v>
      </c>
      <c r="H141" s="21">
        <v>4680</v>
      </c>
      <c r="I141" s="21">
        <v>1450.8</v>
      </c>
    </row>
    <row r="142" spans="1:9">
      <c r="A142" s="20">
        <v>45648</v>
      </c>
      <c r="B142" t="s">
        <v>19</v>
      </c>
      <c r="C142" t="s">
        <v>31</v>
      </c>
      <c r="D142" t="s">
        <v>14</v>
      </c>
      <c r="E142" t="s">
        <v>30</v>
      </c>
      <c r="F142" s="21">
        <v>15</v>
      </c>
      <c r="G142" s="21">
        <v>205</v>
      </c>
      <c r="H142" s="21">
        <v>3075</v>
      </c>
      <c r="I142" s="21">
        <v>891.75</v>
      </c>
    </row>
    <row r="143" spans="1:9">
      <c r="D143" t="s">
        <v>88</v>
      </c>
      <c r="F143" s="21">
        <v>15</v>
      </c>
      <c r="G143" s="21">
        <v>205</v>
      </c>
      <c r="H143" s="21">
        <v>3075</v>
      </c>
      <c r="I143" s="21">
        <v>891.75</v>
      </c>
    </row>
    <row r="144" spans="1:9">
      <c r="C144" t="s">
        <v>89</v>
      </c>
      <c r="F144" s="21">
        <v>15</v>
      </c>
      <c r="G144" s="21">
        <v>205</v>
      </c>
      <c r="H144" s="21">
        <v>3075</v>
      </c>
      <c r="I144" s="21">
        <v>891.75</v>
      </c>
    </row>
    <row r="145" spans="1:9">
      <c r="B145" t="s">
        <v>82</v>
      </c>
      <c r="F145" s="21">
        <v>15</v>
      </c>
      <c r="G145" s="21">
        <v>205</v>
      </c>
      <c r="H145" s="21">
        <v>3075</v>
      </c>
      <c r="I145" s="21">
        <v>891.75</v>
      </c>
    </row>
    <row r="146" spans="1:9">
      <c r="A146" t="s">
        <v>141</v>
      </c>
      <c r="F146" s="21">
        <v>15</v>
      </c>
      <c r="G146" s="21">
        <v>205</v>
      </c>
      <c r="H146" s="21">
        <v>3075</v>
      </c>
      <c r="I146" s="21">
        <v>891.75</v>
      </c>
    </row>
    <row r="147" spans="1:9">
      <c r="A147" t="s">
        <v>142</v>
      </c>
      <c r="B147" t="s">
        <v>142</v>
      </c>
      <c r="C147" t="s">
        <v>142</v>
      </c>
      <c r="D147" t="s">
        <v>142</v>
      </c>
      <c r="E147" t="s">
        <v>142</v>
      </c>
      <c r="F147" s="21"/>
      <c r="G147" s="21"/>
      <c r="H147" s="21"/>
      <c r="I147" s="21"/>
    </row>
    <row r="148" spans="1:9">
      <c r="D148" t="s">
        <v>143</v>
      </c>
      <c r="F148" s="21"/>
      <c r="G148" s="21"/>
      <c r="H148" s="21"/>
      <c r="I148" s="21"/>
    </row>
    <row r="149" spans="1:9">
      <c r="C149" t="s">
        <v>143</v>
      </c>
      <c r="F149" s="21"/>
      <c r="G149" s="21"/>
      <c r="H149" s="21"/>
      <c r="I149" s="21"/>
    </row>
    <row r="150" spans="1:9">
      <c r="B150" t="s">
        <v>143</v>
      </c>
      <c r="F150" s="21"/>
      <c r="G150" s="21"/>
      <c r="H150" s="21"/>
      <c r="I150" s="21"/>
    </row>
    <row r="151" spans="1:9">
      <c r="A151" t="s">
        <v>143</v>
      </c>
      <c r="F151" s="21"/>
      <c r="G151" s="21"/>
      <c r="H151" s="21"/>
      <c r="I151" s="21"/>
    </row>
    <row r="152" spans="1:9">
      <c r="A152" t="s">
        <v>144</v>
      </c>
      <c r="F152" s="21">
        <v>335</v>
      </c>
      <c r="G152" s="21">
        <v>9769</v>
      </c>
      <c r="H152" s="21">
        <v>110790</v>
      </c>
      <c r="I152" s="21">
        <v>38151.32</v>
      </c>
    </row>
    <row r="156" spans="1:9">
      <c r="A156" s="19" t="s">
        <v>1</v>
      </c>
      <c r="B156" s="19" t="s">
        <v>2</v>
      </c>
      <c r="C156" s="19" t="s">
        <v>8</v>
      </c>
      <c r="D156" t="s">
        <v>76</v>
      </c>
      <c r="E156" t="s">
        <v>77</v>
      </c>
    </row>
    <row r="157" spans="1:9">
      <c r="A157" s="22">
        <v>45310</v>
      </c>
      <c r="B157" t="s">
        <v>19</v>
      </c>
      <c r="C157" t="s">
        <v>18</v>
      </c>
      <c r="D157" s="21">
        <v>2</v>
      </c>
      <c r="E157" s="21">
        <v>395</v>
      </c>
    </row>
    <row r="158" spans="1:9">
      <c r="B158" t="s">
        <v>82</v>
      </c>
      <c r="D158" s="21">
        <v>2</v>
      </c>
      <c r="E158" s="21">
        <v>395</v>
      </c>
    </row>
    <row r="159" spans="1:9">
      <c r="A159" s="22" t="s">
        <v>145</v>
      </c>
      <c r="D159" s="21">
        <v>2</v>
      </c>
      <c r="E159" s="21">
        <v>395</v>
      </c>
    </row>
    <row r="160" spans="1:9">
      <c r="A160" s="22">
        <v>45314</v>
      </c>
      <c r="B160" t="s">
        <v>15</v>
      </c>
      <c r="C160" t="s">
        <v>22</v>
      </c>
      <c r="D160" s="21">
        <v>16</v>
      </c>
      <c r="E160" s="21">
        <v>153</v>
      </c>
    </row>
    <row r="161" spans="1:10">
      <c r="B161" t="s">
        <v>86</v>
      </c>
      <c r="D161" s="21">
        <v>16</v>
      </c>
      <c r="E161" s="21">
        <v>153</v>
      </c>
      <c r="G161" s="19" t="s">
        <v>2</v>
      </c>
      <c r="H161" s="19" t="s">
        <v>6</v>
      </c>
      <c r="I161" s="19" t="s">
        <v>7</v>
      </c>
      <c r="J161" s="19" t="s">
        <v>8</v>
      </c>
    </row>
    <row r="162" spans="1:10">
      <c r="A162" s="22" t="s">
        <v>146</v>
      </c>
      <c r="D162" s="21">
        <v>16</v>
      </c>
      <c r="E162" s="21">
        <v>153</v>
      </c>
      <c r="G162" t="s">
        <v>19</v>
      </c>
      <c r="H162" t="s">
        <v>20</v>
      </c>
      <c r="I162" t="s">
        <v>21</v>
      </c>
      <c r="J162" t="s">
        <v>22</v>
      </c>
    </row>
    <row r="163" spans="1:10">
      <c r="A163" s="22">
        <v>45315</v>
      </c>
      <c r="B163" t="s">
        <v>23</v>
      </c>
      <c r="C163" t="s">
        <v>22</v>
      </c>
      <c r="D163" s="21">
        <v>9</v>
      </c>
      <c r="E163" s="21">
        <v>289</v>
      </c>
      <c r="I163" t="s">
        <v>99</v>
      </c>
    </row>
    <row r="164" spans="1:10">
      <c r="B164" t="s">
        <v>97</v>
      </c>
      <c r="D164" s="21">
        <v>9</v>
      </c>
      <c r="E164" s="21">
        <v>289</v>
      </c>
      <c r="H164" t="s">
        <v>147</v>
      </c>
    </row>
    <row r="165" spans="1:10">
      <c r="A165" s="22" t="s">
        <v>148</v>
      </c>
      <c r="D165" s="21">
        <v>9</v>
      </c>
      <c r="E165" s="21">
        <v>289</v>
      </c>
      <c r="H165" t="s">
        <v>30</v>
      </c>
      <c r="I165" t="s">
        <v>31</v>
      </c>
      <c r="J165" t="s">
        <v>14</v>
      </c>
    </row>
    <row r="166" spans="1:10">
      <c r="A166" s="22">
        <v>45330</v>
      </c>
      <c r="B166" t="s">
        <v>15</v>
      </c>
      <c r="C166" t="s">
        <v>14</v>
      </c>
      <c r="D166" s="21">
        <v>18</v>
      </c>
      <c r="E166" s="21">
        <v>403</v>
      </c>
      <c r="I166" t="s">
        <v>89</v>
      </c>
    </row>
    <row r="167" spans="1:10">
      <c r="B167" t="s">
        <v>86</v>
      </c>
      <c r="D167" s="21">
        <v>18</v>
      </c>
      <c r="E167" s="21">
        <v>403</v>
      </c>
      <c r="H167" t="s">
        <v>149</v>
      </c>
    </row>
    <row r="168" spans="1:10">
      <c r="A168" s="22" t="s">
        <v>150</v>
      </c>
      <c r="D168" s="21">
        <v>18</v>
      </c>
      <c r="E168" s="21">
        <v>403</v>
      </c>
      <c r="H168" t="s">
        <v>32</v>
      </c>
      <c r="I168" t="s">
        <v>33</v>
      </c>
      <c r="J168" t="s">
        <v>18</v>
      </c>
    </row>
    <row r="169" spans="1:10">
      <c r="A169" s="22">
        <v>45341</v>
      </c>
      <c r="B169" t="s">
        <v>19</v>
      </c>
      <c r="C169" t="s">
        <v>18</v>
      </c>
      <c r="D169" s="21">
        <v>7</v>
      </c>
      <c r="E169" s="21">
        <v>450</v>
      </c>
      <c r="I169" t="s">
        <v>124</v>
      </c>
    </row>
    <row r="170" spans="1:10">
      <c r="B170" t="s">
        <v>82</v>
      </c>
      <c r="D170" s="21">
        <v>7</v>
      </c>
      <c r="E170" s="21">
        <v>450</v>
      </c>
      <c r="H170" t="s">
        <v>151</v>
      </c>
    </row>
    <row r="171" spans="1:10">
      <c r="A171" s="22" t="s">
        <v>152</v>
      </c>
      <c r="D171" s="21">
        <v>7</v>
      </c>
      <c r="E171" s="21">
        <v>450</v>
      </c>
      <c r="H171" t="s">
        <v>48</v>
      </c>
      <c r="I171" t="s">
        <v>49</v>
      </c>
      <c r="J171" t="s">
        <v>18</v>
      </c>
    </row>
    <row r="172" spans="1:10">
      <c r="A172" s="22">
        <v>45362</v>
      </c>
      <c r="B172" t="s">
        <v>11</v>
      </c>
      <c r="C172" t="s">
        <v>14</v>
      </c>
      <c r="D172" s="21">
        <v>19</v>
      </c>
      <c r="E172" s="21">
        <v>409</v>
      </c>
      <c r="I172" t="s">
        <v>91</v>
      </c>
    </row>
    <row r="173" spans="1:10">
      <c r="B173" t="s">
        <v>94</v>
      </c>
      <c r="D173" s="21">
        <v>19</v>
      </c>
      <c r="E173" s="21">
        <v>409</v>
      </c>
      <c r="H173" t="s">
        <v>153</v>
      </c>
    </row>
    <row r="174" spans="1:10">
      <c r="A174" s="22" t="s">
        <v>154</v>
      </c>
      <c r="D174" s="21">
        <v>19</v>
      </c>
      <c r="E174" s="21">
        <v>409</v>
      </c>
      <c r="H174" t="s">
        <v>59</v>
      </c>
      <c r="I174" t="s">
        <v>60</v>
      </c>
      <c r="J174" t="s">
        <v>18</v>
      </c>
    </row>
    <row r="175" spans="1:10">
      <c r="A175" s="22">
        <v>45366</v>
      </c>
      <c r="B175" t="s">
        <v>23</v>
      </c>
      <c r="C175" t="s">
        <v>18</v>
      </c>
      <c r="D175" s="21">
        <v>3</v>
      </c>
      <c r="E175" s="21">
        <v>152</v>
      </c>
      <c r="I175" t="s">
        <v>81</v>
      </c>
    </row>
    <row r="176" spans="1:10">
      <c r="B176" t="s">
        <v>97</v>
      </c>
      <c r="D176" s="21">
        <v>3</v>
      </c>
      <c r="E176" s="21">
        <v>152</v>
      </c>
      <c r="H176" t="s">
        <v>155</v>
      </c>
    </row>
    <row r="177" spans="1:10">
      <c r="A177" s="22" t="s">
        <v>156</v>
      </c>
      <c r="D177" s="21">
        <v>3</v>
      </c>
      <c r="E177" s="21">
        <v>152</v>
      </c>
      <c r="G177" t="s">
        <v>82</v>
      </c>
    </row>
    <row r="178" spans="1:10">
      <c r="A178" s="22">
        <v>45389</v>
      </c>
      <c r="B178" t="s">
        <v>19</v>
      </c>
      <c r="C178" t="s">
        <v>22</v>
      </c>
      <c r="D178" s="21">
        <v>12</v>
      </c>
      <c r="E178" s="21">
        <v>487</v>
      </c>
      <c r="G178" t="s">
        <v>23</v>
      </c>
      <c r="H178" t="s">
        <v>36</v>
      </c>
      <c r="I178" t="s">
        <v>37</v>
      </c>
      <c r="J178" t="s">
        <v>18</v>
      </c>
    </row>
    <row r="179" spans="1:10">
      <c r="B179" t="s">
        <v>82</v>
      </c>
      <c r="D179" s="21">
        <v>12</v>
      </c>
      <c r="E179" s="21">
        <v>487</v>
      </c>
      <c r="I179" t="s">
        <v>101</v>
      </c>
    </row>
    <row r="180" spans="1:10">
      <c r="A180" s="22" t="s">
        <v>157</v>
      </c>
      <c r="D180" s="21">
        <v>12</v>
      </c>
      <c r="E180" s="21">
        <v>487</v>
      </c>
      <c r="H180" t="s">
        <v>158</v>
      </c>
    </row>
    <row r="181" spans="1:10">
      <c r="A181" s="22">
        <v>45392</v>
      </c>
      <c r="B181" t="s">
        <v>23</v>
      </c>
      <c r="C181" t="s">
        <v>18</v>
      </c>
      <c r="D181" s="21">
        <v>12</v>
      </c>
      <c r="E181" s="21">
        <v>290</v>
      </c>
      <c r="H181" t="s">
        <v>57</v>
      </c>
      <c r="I181" t="s">
        <v>58</v>
      </c>
      <c r="J181" t="s">
        <v>22</v>
      </c>
    </row>
    <row r="182" spans="1:10">
      <c r="B182" t="s">
        <v>97</v>
      </c>
      <c r="D182" s="21">
        <v>12</v>
      </c>
      <c r="E182" s="21">
        <v>290</v>
      </c>
      <c r="I182" t="s">
        <v>159</v>
      </c>
    </row>
    <row r="183" spans="1:10">
      <c r="A183" s="22" t="s">
        <v>160</v>
      </c>
      <c r="D183" s="21">
        <v>12</v>
      </c>
      <c r="E183" s="21">
        <v>290</v>
      </c>
      <c r="H183" t="s">
        <v>161</v>
      </c>
    </row>
    <row r="184" spans="1:10">
      <c r="A184" s="22">
        <v>45423</v>
      </c>
      <c r="B184" t="s">
        <v>15</v>
      </c>
      <c r="C184" t="s">
        <v>22</v>
      </c>
      <c r="D184" s="21">
        <v>15</v>
      </c>
      <c r="E184" s="21">
        <v>466</v>
      </c>
      <c r="H184" t="s">
        <v>61</v>
      </c>
      <c r="I184" t="s">
        <v>62</v>
      </c>
      <c r="J184" t="s">
        <v>14</v>
      </c>
    </row>
    <row r="185" spans="1:10">
      <c r="B185" t="s">
        <v>86</v>
      </c>
      <c r="D185" s="21">
        <v>15</v>
      </c>
      <c r="E185" s="21">
        <v>466</v>
      </c>
      <c r="I185" t="s">
        <v>139</v>
      </c>
    </row>
    <row r="186" spans="1:10">
      <c r="A186" s="22" t="s">
        <v>162</v>
      </c>
      <c r="D186" s="21">
        <v>15</v>
      </c>
      <c r="E186" s="21">
        <v>466</v>
      </c>
      <c r="H186" t="s">
        <v>163</v>
      </c>
    </row>
    <row r="187" spans="1:10">
      <c r="A187" s="22">
        <v>45435</v>
      </c>
      <c r="B187" t="s">
        <v>11</v>
      </c>
      <c r="C187" t="s">
        <v>14</v>
      </c>
      <c r="D187" s="21">
        <v>5</v>
      </c>
      <c r="E187" s="21">
        <v>143</v>
      </c>
      <c r="H187" t="s">
        <v>67</v>
      </c>
      <c r="I187" t="s">
        <v>68</v>
      </c>
      <c r="J187" t="s">
        <v>14</v>
      </c>
    </row>
    <row r="188" spans="1:10">
      <c r="B188" t="s">
        <v>94</v>
      </c>
      <c r="D188" s="21">
        <v>5</v>
      </c>
      <c r="E188" s="21">
        <v>143</v>
      </c>
      <c r="I188" t="s">
        <v>135</v>
      </c>
    </row>
    <row r="189" spans="1:10">
      <c r="A189" s="22" t="s">
        <v>164</v>
      </c>
      <c r="D189" s="21">
        <v>5</v>
      </c>
      <c r="E189" s="21">
        <v>143</v>
      </c>
      <c r="H189" t="s">
        <v>165</v>
      </c>
    </row>
    <row r="190" spans="1:10">
      <c r="A190" s="22">
        <v>45436</v>
      </c>
      <c r="B190" t="s">
        <v>15</v>
      </c>
      <c r="C190" t="s">
        <v>22</v>
      </c>
      <c r="D190" s="21">
        <v>9</v>
      </c>
      <c r="E190" s="21">
        <v>369</v>
      </c>
      <c r="H190" t="s">
        <v>71</v>
      </c>
      <c r="I190" t="s">
        <v>72</v>
      </c>
      <c r="J190" t="s">
        <v>18</v>
      </c>
    </row>
    <row r="191" spans="1:10">
      <c r="B191" t="s">
        <v>86</v>
      </c>
      <c r="D191" s="21">
        <v>9</v>
      </c>
      <c r="E191" s="21">
        <v>369</v>
      </c>
      <c r="I191" t="s">
        <v>96</v>
      </c>
    </row>
    <row r="192" spans="1:10">
      <c r="A192" s="22" t="s">
        <v>166</v>
      </c>
      <c r="D192" s="21">
        <v>9</v>
      </c>
      <c r="E192" s="21">
        <v>369</v>
      </c>
      <c r="H192" t="s">
        <v>167</v>
      </c>
    </row>
    <row r="193" spans="1:10">
      <c r="A193" s="22">
        <v>45460</v>
      </c>
      <c r="B193" t="s">
        <v>11</v>
      </c>
      <c r="C193" t="s">
        <v>18</v>
      </c>
      <c r="D193" s="21">
        <v>19</v>
      </c>
      <c r="E193" s="21">
        <v>261</v>
      </c>
      <c r="H193" t="s">
        <v>73</v>
      </c>
      <c r="I193" t="s">
        <v>74</v>
      </c>
      <c r="J193" t="s">
        <v>22</v>
      </c>
    </row>
    <row r="194" spans="1:10">
      <c r="B194" t="s">
        <v>94</v>
      </c>
      <c r="D194" s="21">
        <v>19</v>
      </c>
      <c r="E194" s="21">
        <v>261</v>
      </c>
      <c r="I194" t="s">
        <v>116</v>
      </c>
    </row>
    <row r="195" spans="1:10">
      <c r="B195" t="s">
        <v>15</v>
      </c>
      <c r="C195" t="s">
        <v>22</v>
      </c>
      <c r="D195" s="21">
        <v>7</v>
      </c>
      <c r="E195" s="21">
        <v>307</v>
      </c>
      <c r="H195" t="s">
        <v>168</v>
      </c>
    </row>
    <row r="196" spans="1:10">
      <c r="B196" t="s">
        <v>86</v>
      </c>
      <c r="D196" s="21">
        <v>7</v>
      </c>
      <c r="E196" s="21">
        <v>307</v>
      </c>
      <c r="G196" t="s">
        <v>97</v>
      </c>
    </row>
    <row r="197" spans="1:10">
      <c r="A197" s="22" t="s">
        <v>169</v>
      </c>
      <c r="D197" s="21">
        <v>26</v>
      </c>
      <c r="E197" s="21">
        <v>568</v>
      </c>
      <c r="G197" t="s">
        <v>11</v>
      </c>
      <c r="H197" t="s">
        <v>12</v>
      </c>
      <c r="I197" t="s">
        <v>13</v>
      </c>
      <c r="J197" t="s">
        <v>14</v>
      </c>
    </row>
    <row r="198" spans="1:10">
      <c r="A198" s="22">
        <v>45466</v>
      </c>
      <c r="B198" t="s">
        <v>11</v>
      </c>
      <c r="C198" t="s">
        <v>22</v>
      </c>
      <c r="D198" s="21">
        <v>3</v>
      </c>
      <c r="E198" s="21">
        <v>317</v>
      </c>
      <c r="I198" t="s">
        <v>133</v>
      </c>
    </row>
    <row r="199" spans="1:10">
      <c r="B199" t="s">
        <v>94</v>
      </c>
      <c r="D199" s="21">
        <v>3</v>
      </c>
      <c r="E199" s="21">
        <v>317</v>
      </c>
      <c r="H199" t="s">
        <v>170</v>
      </c>
    </row>
    <row r="200" spans="1:10">
      <c r="A200" s="22" t="s">
        <v>171</v>
      </c>
      <c r="D200" s="21">
        <v>3</v>
      </c>
      <c r="E200" s="21">
        <v>317</v>
      </c>
      <c r="H200" t="s">
        <v>24</v>
      </c>
      <c r="I200" t="s">
        <v>25</v>
      </c>
      <c r="J200" t="s">
        <v>14</v>
      </c>
    </row>
    <row r="201" spans="1:10">
      <c r="A201" s="22">
        <v>45491</v>
      </c>
      <c r="B201" t="s">
        <v>11</v>
      </c>
      <c r="C201" t="s">
        <v>18</v>
      </c>
      <c r="D201" s="21">
        <v>10</v>
      </c>
      <c r="E201" s="21">
        <v>489</v>
      </c>
      <c r="I201" t="s">
        <v>131</v>
      </c>
    </row>
    <row r="202" spans="1:10">
      <c r="B202" t="s">
        <v>94</v>
      </c>
      <c r="D202" s="21">
        <v>10</v>
      </c>
      <c r="E202" s="21">
        <v>489</v>
      </c>
      <c r="H202" t="s">
        <v>172</v>
      </c>
    </row>
    <row r="203" spans="1:10">
      <c r="A203" s="22" t="s">
        <v>173</v>
      </c>
      <c r="D203" s="21">
        <v>10</v>
      </c>
      <c r="E203" s="21">
        <v>489</v>
      </c>
      <c r="H203" t="s">
        <v>26</v>
      </c>
      <c r="I203" t="s">
        <v>27</v>
      </c>
      <c r="J203" t="s">
        <v>18</v>
      </c>
    </row>
    <row r="204" spans="1:10">
      <c r="A204" s="22">
        <v>45509</v>
      </c>
      <c r="B204" t="s">
        <v>23</v>
      </c>
      <c r="C204" t="s">
        <v>22</v>
      </c>
      <c r="D204" s="21">
        <v>14</v>
      </c>
      <c r="E204" s="21">
        <v>379</v>
      </c>
      <c r="I204" t="s">
        <v>114</v>
      </c>
    </row>
    <row r="205" spans="1:10">
      <c r="B205" t="s">
        <v>97</v>
      </c>
      <c r="D205" s="21">
        <v>14</v>
      </c>
      <c r="E205" s="21">
        <v>379</v>
      </c>
      <c r="H205" t="s">
        <v>174</v>
      </c>
    </row>
    <row r="206" spans="1:10">
      <c r="A206" s="22" t="s">
        <v>175</v>
      </c>
      <c r="D206" s="21">
        <v>14</v>
      </c>
      <c r="E206" s="21">
        <v>379</v>
      </c>
      <c r="H206" t="s">
        <v>34</v>
      </c>
      <c r="I206" t="s">
        <v>35</v>
      </c>
      <c r="J206" t="s">
        <v>14</v>
      </c>
    </row>
    <row r="207" spans="1:10">
      <c r="A207" s="22">
        <v>45531</v>
      </c>
      <c r="B207" t="s">
        <v>15</v>
      </c>
      <c r="C207" t="s">
        <v>18</v>
      </c>
      <c r="D207" s="21">
        <v>12</v>
      </c>
      <c r="E207" s="21">
        <v>459</v>
      </c>
      <c r="I207" t="s">
        <v>93</v>
      </c>
    </row>
    <row r="208" spans="1:10">
      <c r="B208" t="s">
        <v>86</v>
      </c>
      <c r="D208" s="21">
        <v>12</v>
      </c>
      <c r="E208" s="21">
        <v>459</v>
      </c>
      <c r="H208" t="s">
        <v>176</v>
      </c>
    </row>
    <row r="209" spans="1:10">
      <c r="A209" s="22" t="s">
        <v>177</v>
      </c>
      <c r="D209" s="21">
        <v>12</v>
      </c>
      <c r="E209" s="21">
        <v>459</v>
      </c>
      <c r="H209" t="s">
        <v>38</v>
      </c>
      <c r="I209" t="s">
        <v>39</v>
      </c>
      <c r="J209" t="s">
        <v>22</v>
      </c>
    </row>
    <row r="210" spans="1:10">
      <c r="A210" s="22">
        <v>45540</v>
      </c>
      <c r="B210" t="s">
        <v>15</v>
      </c>
      <c r="C210" t="s">
        <v>22</v>
      </c>
      <c r="D210" s="21">
        <v>4</v>
      </c>
      <c r="E210" s="21">
        <v>370</v>
      </c>
      <c r="I210" t="s">
        <v>112</v>
      </c>
    </row>
    <row r="211" spans="1:10">
      <c r="B211" t="s">
        <v>86</v>
      </c>
      <c r="D211" s="21">
        <v>4</v>
      </c>
      <c r="E211" s="21">
        <v>370</v>
      </c>
      <c r="H211" t="s">
        <v>178</v>
      </c>
    </row>
    <row r="212" spans="1:10">
      <c r="A212" s="22" t="s">
        <v>179</v>
      </c>
      <c r="D212" s="21">
        <v>4</v>
      </c>
      <c r="E212" s="21">
        <v>370</v>
      </c>
      <c r="H212" t="s">
        <v>40</v>
      </c>
      <c r="I212" t="s">
        <v>41</v>
      </c>
      <c r="J212" t="s">
        <v>14</v>
      </c>
    </row>
    <row r="213" spans="1:10">
      <c r="A213" s="22">
        <v>45543</v>
      </c>
      <c r="B213" t="s">
        <v>11</v>
      </c>
      <c r="C213" t="s">
        <v>14</v>
      </c>
      <c r="D213" s="21">
        <v>18</v>
      </c>
      <c r="E213" s="21">
        <v>351</v>
      </c>
      <c r="I213" t="s">
        <v>105</v>
      </c>
    </row>
    <row r="214" spans="1:10">
      <c r="B214" t="s">
        <v>94</v>
      </c>
      <c r="D214" s="21">
        <v>18</v>
      </c>
      <c r="E214" s="21">
        <v>351</v>
      </c>
      <c r="H214" t="s">
        <v>180</v>
      </c>
    </row>
    <row r="215" spans="1:10">
      <c r="A215" s="22" t="s">
        <v>181</v>
      </c>
      <c r="D215" s="21">
        <v>18</v>
      </c>
      <c r="E215" s="21">
        <v>351</v>
      </c>
      <c r="H215" t="s">
        <v>42</v>
      </c>
      <c r="I215" t="s">
        <v>43</v>
      </c>
      <c r="J215" t="s">
        <v>18</v>
      </c>
    </row>
    <row r="216" spans="1:10">
      <c r="A216" s="22">
        <v>45560</v>
      </c>
      <c r="B216" t="s">
        <v>15</v>
      </c>
      <c r="C216" t="s">
        <v>18</v>
      </c>
      <c r="D216" s="21">
        <v>17</v>
      </c>
      <c r="E216" s="21">
        <v>316</v>
      </c>
      <c r="I216" t="s">
        <v>109</v>
      </c>
    </row>
    <row r="217" spans="1:10">
      <c r="B217" t="s">
        <v>86</v>
      </c>
      <c r="D217" s="21">
        <v>17</v>
      </c>
      <c r="E217" s="21">
        <v>316</v>
      </c>
      <c r="H217" t="s">
        <v>182</v>
      </c>
    </row>
    <row r="218" spans="1:10">
      <c r="A218" s="22" t="s">
        <v>183</v>
      </c>
      <c r="D218" s="21">
        <v>17</v>
      </c>
      <c r="E218" s="21">
        <v>316</v>
      </c>
      <c r="H218" t="s">
        <v>44</v>
      </c>
      <c r="I218" t="s">
        <v>45</v>
      </c>
      <c r="J218" t="s">
        <v>14</v>
      </c>
    </row>
    <row r="219" spans="1:10">
      <c r="A219" s="22">
        <v>45576</v>
      </c>
      <c r="B219" t="s">
        <v>11</v>
      </c>
      <c r="C219" t="s">
        <v>14</v>
      </c>
      <c r="D219" s="21">
        <v>7</v>
      </c>
      <c r="E219" s="21">
        <v>301</v>
      </c>
      <c r="I219" t="s">
        <v>126</v>
      </c>
    </row>
    <row r="220" spans="1:10">
      <c r="B220" t="s">
        <v>94</v>
      </c>
      <c r="D220" s="21">
        <v>7</v>
      </c>
      <c r="E220" s="21">
        <v>301</v>
      </c>
      <c r="H220" t="s">
        <v>184</v>
      </c>
    </row>
    <row r="221" spans="1:10">
      <c r="A221" s="22" t="s">
        <v>185</v>
      </c>
      <c r="D221" s="21">
        <v>7</v>
      </c>
      <c r="E221" s="21">
        <v>301</v>
      </c>
      <c r="H221" t="s">
        <v>55</v>
      </c>
      <c r="I221" t="s">
        <v>56</v>
      </c>
      <c r="J221" t="s">
        <v>14</v>
      </c>
    </row>
    <row r="222" spans="1:10">
      <c r="A222" s="22">
        <v>45584</v>
      </c>
      <c r="B222" t="s">
        <v>15</v>
      </c>
      <c r="C222" t="s">
        <v>18</v>
      </c>
      <c r="D222" s="21">
        <v>12</v>
      </c>
      <c r="E222" s="21">
        <v>336</v>
      </c>
      <c r="I222" t="s">
        <v>122</v>
      </c>
    </row>
    <row r="223" spans="1:10">
      <c r="B223" t="s">
        <v>86</v>
      </c>
      <c r="D223" s="21">
        <v>12</v>
      </c>
      <c r="E223" s="21">
        <v>336</v>
      </c>
      <c r="H223" t="s">
        <v>186</v>
      </c>
    </row>
    <row r="224" spans="1:10">
      <c r="A224" s="22" t="s">
        <v>187</v>
      </c>
      <c r="D224" s="21">
        <v>12</v>
      </c>
      <c r="E224" s="21">
        <v>336</v>
      </c>
      <c r="G224" t="s">
        <v>94</v>
      </c>
    </row>
    <row r="225" spans="1:10">
      <c r="A225" s="22">
        <v>45585</v>
      </c>
      <c r="B225" t="s">
        <v>19</v>
      </c>
      <c r="C225" t="s">
        <v>18</v>
      </c>
      <c r="D225" s="21">
        <v>15</v>
      </c>
      <c r="E225" s="21">
        <v>359</v>
      </c>
      <c r="G225" t="s">
        <v>15</v>
      </c>
      <c r="H225" t="s">
        <v>16</v>
      </c>
      <c r="I225" t="s">
        <v>17</v>
      </c>
      <c r="J225" t="s">
        <v>18</v>
      </c>
    </row>
    <row r="226" spans="1:10">
      <c r="B226" t="s">
        <v>82</v>
      </c>
      <c r="D226" s="21">
        <v>15</v>
      </c>
      <c r="E226" s="21">
        <v>359</v>
      </c>
      <c r="I226" t="s">
        <v>118</v>
      </c>
    </row>
    <row r="227" spans="1:10">
      <c r="A227" s="22" t="s">
        <v>188</v>
      </c>
      <c r="D227" s="21">
        <v>15</v>
      </c>
      <c r="E227" s="21">
        <v>359</v>
      </c>
      <c r="H227" t="s">
        <v>189</v>
      </c>
    </row>
    <row r="228" spans="1:10">
      <c r="A228" s="22">
        <v>45586</v>
      </c>
      <c r="B228" t="s">
        <v>11</v>
      </c>
      <c r="C228" t="s">
        <v>14</v>
      </c>
      <c r="D228" s="21">
        <v>17</v>
      </c>
      <c r="E228" s="21">
        <v>101</v>
      </c>
      <c r="H228" t="s">
        <v>28</v>
      </c>
      <c r="I228" t="s">
        <v>29</v>
      </c>
      <c r="J228" t="s">
        <v>22</v>
      </c>
    </row>
    <row r="229" spans="1:10">
      <c r="B229" t="s">
        <v>94</v>
      </c>
      <c r="D229" s="21">
        <v>17</v>
      </c>
      <c r="E229" s="21">
        <v>101</v>
      </c>
      <c r="I229" t="s">
        <v>85</v>
      </c>
    </row>
    <row r="230" spans="1:10">
      <c r="A230" s="22" t="s">
        <v>190</v>
      </c>
      <c r="D230" s="21">
        <v>17</v>
      </c>
      <c r="E230" s="21">
        <v>101</v>
      </c>
      <c r="H230" t="s">
        <v>191</v>
      </c>
    </row>
    <row r="231" spans="1:10">
      <c r="A231" s="22">
        <v>45608</v>
      </c>
      <c r="B231" t="s">
        <v>11</v>
      </c>
      <c r="C231" t="s">
        <v>14</v>
      </c>
      <c r="D231" s="21">
        <v>1</v>
      </c>
      <c r="E231" s="21">
        <v>149</v>
      </c>
      <c r="H231" t="s">
        <v>50</v>
      </c>
      <c r="I231" t="s">
        <v>31</v>
      </c>
      <c r="J231" t="s">
        <v>14</v>
      </c>
    </row>
    <row r="232" spans="1:10">
      <c r="B232" t="s">
        <v>94</v>
      </c>
      <c r="D232" s="21">
        <v>1</v>
      </c>
      <c r="E232" s="21">
        <v>149</v>
      </c>
      <c r="I232" t="s">
        <v>89</v>
      </c>
    </row>
    <row r="233" spans="1:10">
      <c r="A233" s="22" t="s">
        <v>192</v>
      </c>
      <c r="D233" s="21">
        <v>1</v>
      </c>
      <c r="E233" s="21">
        <v>149</v>
      </c>
      <c r="H233" t="s">
        <v>193</v>
      </c>
    </row>
    <row r="234" spans="1:10">
      <c r="A234" s="22">
        <v>45612</v>
      </c>
      <c r="B234" t="s">
        <v>23</v>
      </c>
      <c r="C234" t="s">
        <v>14</v>
      </c>
      <c r="D234" s="21">
        <v>8</v>
      </c>
      <c r="E234" s="21">
        <v>437</v>
      </c>
      <c r="H234" t="s">
        <v>51</v>
      </c>
      <c r="I234" t="s">
        <v>52</v>
      </c>
      <c r="J234" t="s">
        <v>22</v>
      </c>
    </row>
    <row r="235" spans="1:10">
      <c r="B235" t="s">
        <v>97</v>
      </c>
      <c r="D235" s="21">
        <v>8</v>
      </c>
      <c r="E235" s="21">
        <v>437</v>
      </c>
      <c r="I235" t="s">
        <v>120</v>
      </c>
    </row>
    <row r="236" spans="1:10">
      <c r="A236" s="22" t="s">
        <v>194</v>
      </c>
      <c r="D236" s="21">
        <v>8</v>
      </c>
      <c r="E236" s="21">
        <v>437</v>
      </c>
      <c r="H236" t="s">
        <v>195</v>
      </c>
    </row>
    <row r="237" spans="1:10">
      <c r="A237" s="22">
        <v>45615</v>
      </c>
      <c r="B237" t="s">
        <v>15</v>
      </c>
      <c r="C237" t="s">
        <v>18</v>
      </c>
      <c r="D237" s="21">
        <v>14</v>
      </c>
      <c r="E237" s="21">
        <v>314</v>
      </c>
      <c r="H237" t="s">
        <v>46</v>
      </c>
      <c r="I237" t="s">
        <v>47</v>
      </c>
      <c r="J237" t="s">
        <v>22</v>
      </c>
    </row>
    <row r="238" spans="1:10">
      <c r="B238" t="s">
        <v>86</v>
      </c>
      <c r="D238" s="21">
        <v>14</v>
      </c>
      <c r="E238" s="21">
        <v>314</v>
      </c>
      <c r="I238" t="s">
        <v>107</v>
      </c>
    </row>
    <row r="239" spans="1:10">
      <c r="A239" s="22" t="s">
        <v>196</v>
      </c>
      <c r="D239" s="21">
        <v>14</v>
      </c>
      <c r="E239" s="21">
        <v>314</v>
      </c>
      <c r="H239" t="s">
        <v>197</v>
      </c>
    </row>
    <row r="240" spans="1:10">
      <c r="A240" s="22">
        <v>45629</v>
      </c>
      <c r="B240" t="s">
        <v>23</v>
      </c>
      <c r="C240" t="s">
        <v>14</v>
      </c>
      <c r="D240" s="21">
        <v>15</v>
      </c>
      <c r="E240" s="21">
        <v>312</v>
      </c>
      <c r="H240" t="s">
        <v>53</v>
      </c>
      <c r="I240" t="s">
        <v>54</v>
      </c>
      <c r="J240" t="s">
        <v>18</v>
      </c>
    </row>
    <row r="241" spans="1:10">
      <c r="B241" t="s">
        <v>97</v>
      </c>
      <c r="D241" s="21">
        <v>15</v>
      </c>
      <c r="E241" s="21">
        <v>312</v>
      </c>
      <c r="I241" t="s">
        <v>137</v>
      </c>
    </row>
    <row r="242" spans="1:10">
      <c r="A242" s="22" t="s">
        <v>198</v>
      </c>
      <c r="D242" s="21">
        <v>15</v>
      </c>
      <c r="E242" s="21">
        <v>312</v>
      </c>
      <c r="H242" t="s">
        <v>199</v>
      </c>
    </row>
    <row r="243" spans="1:10">
      <c r="A243" s="22">
        <v>45648</v>
      </c>
      <c r="B243" t="s">
        <v>19</v>
      </c>
      <c r="C243" t="s">
        <v>14</v>
      </c>
      <c r="D243" s="21">
        <v>15</v>
      </c>
      <c r="E243" s="21">
        <v>205</v>
      </c>
      <c r="H243" t="s">
        <v>63</v>
      </c>
      <c r="I243" t="s">
        <v>64</v>
      </c>
      <c r="J243" t="s">
        <v>22</v>
      </c>
    </row>
    <row r="244" spans="1:10">
      <c r="B244" t="s">
        <v>82</v>
      </c>
      <c r="D244" s="21">
        <v>15</v>
      </c>
      <c r="E244" s="21">
        <v>205</v>
      </c>
      <c r="I244" t="s">
        <v>110</v>
      </c>
    </row>
    <row r="245" spans="1:10">
      <c r="A245" s="22" t="s">
        <v>200</v>
      </c>
      <c r="D245" s="21">
        <v>15</v>
      </c>
      <c r="E245" s="21">
        <v>205</v>
      </c>
      <c r="H245" t="s">
        <v>201</v>
      </c>
    </row>
    <row r="246" spans="1:10">
      <c r="A246" s="22" t="s">
        <v>144</v>
      </c>
      <c r="D246" s="21">
        <v>335</v>
      </c>
      <c r="E246" s="21">
        <v>9769</v>
      </c>
      <c r="H246" t="s">
        <v>65</v>
      </c>
      <c r="I246" t="s">
        <v>66</v>
      </c>
      <c r="J246" t="s">
        <v>18</v>
      </c>
    </row>
    <row r="247" spans="1:10">
      <c r="I247" t="s">
        <v>128</v>
      </c>
    </row>
    <row r="248" spans="1:10">
      <c r="H248" t="s">
        <v>202</v>
      </c>
    </row>
    <row r="249" spans="1:10">
      <c r="H249" t="s">
        <v>69</v>
      </c>
      <c r="I249" t="s">
        <v>70</v>
      </c>
      <c r="J249" t="s">
        <v>22</v>
      </c>
    </row>
    <row r="250" spans="1:10">
      <c r="I250" t="s">
        <v>103</v>
      </c>
    </row>
    <row r="251" spans="1:10">
      <c r="H251" t="s">
        <v>203</v>
      </c>
    </row>
    <row r="252" spans="1:10">
      <c r="A252" s="19" t="s">
        <v>10</v>
      </c>
      <c r="B252" t="s">
        <v>79</v>
      </c>
      <c r="H252" t="s">
        <v>75</v>
      </c>
      <c r="I252" t="s">
        <v>33</v>
      </c>
      <c r="J252" t="s">
        <v>18</v>
      </c>
    </row>
    <row r="253" spans="1:10">
      <c r="A253" t="s">
        <v>204</v>
      </c>
      <c r="B253" s="21">
        <v>2040.1200000000001</v>
      </c>
      <c r="I253" t="s">
        <v>124</v>
      </c>
    </row>
    <row r="254" spans="1:10">
      <c r="A254" t="s">
        <v>205</v>
      </c>
      <c r="B254" s="21">
        <v>3635.64</v>
      </c>
      <c r="H254" t="s">
        <v>206</v>
      </c>
    </row>
    <row r="255" spans="1:10">
      <c r="A255" t="s">
        <v>207</v>
      </c>
      <c r="B255" s="21">
        <v>3016.44</v>
      </c>
      <c r="G255" t="s">
        <v>86</v>
      </c>
    </row>
    <row r="256" spans="1:10">
      <c r="A256" t="s">
        <v>208</v>
      </c>
      <c r="B256" s="21">
        <v>3534.6000000000004</v>
      </c>
      <c r="G256" t="s">
        <v>144</v>
      </c>
    </row>
    <row r="257" spans="1:2">
      <c r="A257" t="s">
        <v>209</v>
      </c>
      <c r="B257" s="21">
        <v>4466.6499999999996</v>
      </c>
    </row>
    <row r="258" spans="1:2">
      <c r="A258" t="s">
        <v>210</v>
      </c>
      <c r="B258" s="21">
        <v>2429.37</v>
      </c>
    </row>
    <row r="259" spans="1:2">
      <c r="A259" t="s">
        <v>211</v>
      </c>
      <c r="B259" s="21">
        <v>1613.7</v>
      </c>
    </row>
    <row r="260" spans="1:2">
      <c r="A260" t="s">
        <v>212</v>
      </c>
      <c r="B260" s="21">
        <v>3336.1800000000003</v>
      </c>
    </row>
    <row r="261" spans="1:2">
      <c r="A261" t="s">
        <v>213</v>
      </c>
      <c r="B261" s="21">
        <v>5157.7999999999993</v>
      </c>
    </row>
    <row r="262" spans="1:2">
      <c r="A262" t="s">
        <v>214</v>
      </c>
      <c r="B262" s="21">
        <v>3051.68</v>
      </c>
    </row>
    <row r="263" spans="1:2">
      <c r="A263" t="s">
        <v>215</v>
      </c>
      <c r="B263" s="21">
        <v>3526.59</v>
      </c>
    </row>
    <row r="264" spans="1:2">
      <c r="A264" t="s">
        <v>216</v>
      </c>
      <c r="B264" s="21">
        <v>2342.5500000000002</v>
      </c>
    </row>
    <row r="265" spans="1:2">
      <c r="A265" t="s">
        <v>144</v>
      </c>
      <c r="B265" s="21">
        <v>38151.320000000007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1D25-6D5E-4559-97C1-428A88E408CE}">
  <dimension ref="A1"/>
  <sheetViews>
    <sheetView workbookViewId="0">
      <selection activeCell="J16" sqref="J1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2026-06-25T16:19:39Z</dcterms:created>
  <dcterms:modified xsi:type="dcterms:W3CDTF">2026-06-26T09:46:04Z</dcterms:modified>
  <cp:category/>
  <cp:contentStatus/>
</cp:coreProperties>
</file>